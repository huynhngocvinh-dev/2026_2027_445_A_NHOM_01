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999CC858-5227-4442-B53E-2AD7153C4A7E}" xr6:coauthVersionLast="47" xr6:coauthVersionMax="47" xr10:uidLastSave="{00000000-0000-0000-0000-000000000000}"/>
  <bookViews>
    <workbookView xWindow="-108" yWindow="-108" windowWidth="23256" windowHeight="12456" tabRatio="810" activeTab="5" xr2:uid="{00000000-000D-0000-FFFF-FFFF00000000}"/>
  </bookViews>
  <sheets>
    <sheet name="Trường hợp kiểm thử" sheetId="1" r:id="rId1"/>
    <sheet name="Báo cáo kiểm tra" sheetId="10" state="hidden" r:id="rId2"/>
    <sheet name="Đăng nhập" sheetId="3" r:id="rId3"/>
    <sheet name="Đăng ký" sheetId="19" r:id="rId4"/>
    <sheet name="Tìm kiếm việc làm" sheetId="20" r:id="rId5"/>
    <sheet name="Cập nhật hồ sơ (CV)" sheetId="21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1" l="1"/>
  <c r="F4" i="21"/>
  <c r="E5" i="20" l="1"/>
  <c r="D5" i="20"/>
  <c r="F4" i="20"/>
  <c r="E4" i="20"/>
  <c r="D4" i="20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D4" i="3" l="1"/>
  <c r="E4" i="3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E5" i="3"/>
  <c r="D5" i="3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<sst xmlns="http://schemas.openxmlformats.org/spreadsheetml/2006/main" count="583" uniqueCount="212">
  <si>
    <t>Project Name</t>
  </si>
  <si>
    <t>Sheet Name</t>
  </si>
  <si>
    <t>Passed</t>
  </si>
  <si>
    <t>Round 1</t>
  </si>
  <si>
    <t>Round 2</t>
  </si>
  <si>
    <t>Module Code</t>
  </si>
  <si>
    <t>Test Case ID</t>
  </si>
  <si>
    <t>Creator</t>
  </si>
  <si>
    <t>Sub total</t>
  </si>
  <si>
    <t>%</t>
  </si>
  <si>
    <t>Chức năng</t>
  </si>
  <si>
    <t>STT</t>
  </si>
  <si>
    <t>Mô tả</t>
  </si>
  <si>
    <t>Tên dự án</t>
  </si>
  <si>
    <t>Tên hiển thị</t>
  </si>
  <si>
    <t>Vòng 1</t>
  </si>
  <si>
    <t>Vòng 2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</si>
  <si>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</si>
  <si>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</si>
  <si>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</si>
  <si>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</si>
  <si>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</si>
  <si>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</si>
  <si>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</si>
  <si>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</si>
  <si>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Bị chặn</t>
  </si>
  <si>
    <t>Số trường hợp thử nghiệm</t>
  </si>
  <si>
    <t>% Thành công</t>
  </si>
  <si>
    <t>Báo cáo thử nghiệm</t>
  </si>
  <si>
    <t>Vòng2</t>
  </si>
  <si>
    <t>Kiểm tra phủ sóng</t>
  </si>
  <si>
    <t>Kiểm tra thành công phủ sống</t>
  </si>
  <si>
    <t>Chưa Kiểm tra</t>
  </si>
  <si>
    <t>Chưa kiểm tra</t>
  </si>
  <si>
    <t>Bị chăn</t>
  </si>
  <si>
    <t>Tổng số trường hợp thử nghiệm</t>
  </si>
  <si>
    <t>Kết quả</t>
  </si>
  <si>
    <t>Chú thích</t>
  </si>
  <si>
    <t>Trạng thái</t>
  </si>
  <si>
    <t>Ngày kiểm tra</t>
  </si>
  <si>
    <t>Người kiểm tra</t>
  </si>
  <si>
    <t>[Mật khẩu] Textbox</t>
  </si>
  <si>
    <t>Đăng nhập</t>
  </si>
  <si>
    <t>Quy trình</t>
  </si>
  <si>
    <t>Kết quả mong đợi</t>
  </si>
  <si>
    <t>Kết quả thực tế</t>
  </si>
  <si>
    <t>FUNCTION_SHOW Trang đăng nhập</t>
  </si>
  <si>
    <t>Tổng lần kiểm tra</t>
  </si>
  <si>
    <t xml:space="preserve">% Coverage 
</t>
  </si>
  <si>
    <t>Website bán thời trang</t>
  </si>
  <si>
    <t>Hành động</t>
  </si>
  <si>
    <t xml:space="preserve"> -Text color : black
 -Status : enable</t>
  </si>
  <si>
    <t>GUI-DK01</t>
  </si>
  <si>
    <t>GUI-DK02</t>
  </si>
  <si>
    <t>GUI-DK03</t>
  </si>
  <si>
    <t>FUNC-DK03</t>
  </si>
  <si>
    <t>FUNC-DK04</t>
  </si>
  <si>
    <t>FUNC-DK05</t>
  </si>
  <si>
    <t xml:space="preserve"> -Label : black
 -Status : enable</t>
  </si>
  <si>
    <t>Quản lý sản phẩm</t>
  </si>
  <si>
    <t>Quản lý mã khuyến mãi</t>
  </si>
  <si>
    <t>Quản lý tài khoản người dùng</t>
  </si>
  <si>
    <t>Quản lý bài viết</t>
  </si>
  <si>
    <t>Quản lý bình luận</t>
  </si>
  <si>
    <t>Tìm kiếm</t>
  </si>
  <si>
    <t>Quản lý thống kê</t>
  </si>
  <si>
    <t>GUI_SHOW Trang đăng nhập</t>
  </si>
  <si>
    <t>[Đăng nhập] Button</t>
  </si>
  <si>
    <t>Quản lý hóa đơn</t>
  </si>
  <si>
    <t>Quản lý nhãn hiệu</t>
  </si>
  <si>
    <t>Quản lý danh mục</t>
  </si>
  <si>
    <t>TEST CASE SYSTEM SPRINT 1</t>
  </si>
  <si>
    <t xml:space="preserve"> -Text color : white
 -Status : enable</t>
  </si>
  <si>
    <t>Điều kiện tiên quyết</t>
  </si>
  <si>
    <t>Truy cập vào hệ thống</t>
  </si>
  <si>
    <t>GUI-DN01</t>
  </si>
  <si>
    <t>GUI-DN02</t>
  </si>
  <si>
    <t>GUI-DN03</t>
  </si>
  <si>
    <t>FUNC-DN01</t>
  </si>
  <si>
    <t>FUNC-DN02</t>
  </si>
  <si>
    <t>FUNC-DN03</t>
  </si>
  <si>
    <t>FUNC-DN04</t>
  </si>
  <si>
    <t>FUNC-DN05</t>
  </si>
  <si>
    <t>Đăng ký</t>
  </si>
  <si>
    <t>FUNC-DK01</t>
  </si>
  <si>
    <t>FUNC-DK02</t>
  </si>
  <si>
    <t>GUI_SHOW Đăng ký</t>
  </si>
  <si>
    <t>FUNCTION_SHOW Đăng  ký</t>
  </si>
  <si>
    <t>Đăng nhập thành công vào hệ thống</t>
  </si>
  <si>
    <t>Tìm kiếm việc làm</t>
  </si>
  <si>
    <t>Cập nhật hồ sơ (CV)</t>
  </si>
  <si>
    <t>Nghiên cứu và phát triển hệ thống tự động tổng hợp tin tuyển dụng từ các mạng xã hội và website việc làm.</t>
  </si>
  <si>
    <t>Kiểm thử xác thực quyền truy cập của ứng viên và nhà tuyển dụng vào hệ thống.</t>
  </si>
  <si>
    <t>Kiểm thử luồng tạo tài khoản mới cho sinh viên, người lao động hoặc doanh nghiệp (bao gồm cả xác thực OTP).</t>
  </si>
  <si>
    <t>Kiểm tra tính chính xác của thanh công cụ và các bộ lọc (ngành nghề, mức lương, địa điểm) khi truy vấn công việc.</t>
  </si>
  <si>
    <t>Kiểm tra chức năng tải lên và lưu trữ các thông tin kỹ năng, kinh nghiệm của ứng viên.</t>
  </si>
  <si>
    <t>[Email đăng nhập] Textbox</t>
  </si>
  <si>
    <t>16/09/2026</t>
  </si>
  <si>
    <t>Hiền</t>
  </si>
  <si>
    <t>Đăng nhập thành công</t>
  </si>
  <si>
    <t xml:space="preserve">1. Nhập email hợp lệ
2. Nhập mật khẩu đúng
3. Click "Đăng nhập"
</t>
  </si>
  <si>
    <t>Thông báo đăng nhập thành công, sau đó điều hướng tới trang chủ tìm việc.</t>
  </si>
  <si>
    <t>Thông báo đăng nhập thành công, điều hướng sang trang chủ.</t>
  </si>
  <si>
    <t>Sai Email hoặc Mật khẩu</t>
  </si>
  <si>
    <t>1. Nhập sai email/pass
2. Click "Đăng nhập"</t>
  </si>
  <si>
    <t>Hệ thống báo lỗi: "Tên đăng nhập hoặc mật khẩu không đúng!"</t>
  </si>
  <si>
    <t>Để trống "Mật khẩu"</t>
  </si>
  <si>
    <t>1. Nhập email
2. Không nhập pass
3. Click "Đăng nhập"</t>
  </si>
  <si>
    <t>Thông báo lỗi: "Bạn chưa nhập mật khẩu!"</t>
  </si>
  <si>
    <t>Để trống "Email"</t>
  </si>
  <si>
    <t>1. Không nhập email
2. Nhập mật khẩu
3. Click "Đăng nhập"</t>
  </si>
  <si>
    <t>Hệ thống báo lỗi: "Vui lòng nhập email đăng nhập!"</t>
  </si>
  <si>
    <t>Để trống tất cả</t>
  </si>
  <si>
    <t>1. Bỏ trống cả 2 ô
2. Click "Đăng nhập"</t>
  </si>
  <si>
    <t>Thông báo: "Vui lòng nhập đầy đủ email và mật khẩu!"</t>
  </si>
  <si>
    <t>[Họ tên], [SĐT], [Email] Textbox</t>
  </si>
  <si>
    <t>[Mật khẩu], [Xác nhận MK] Textbox</t>
  </si>
  <si>
    <t>[Đăng ký] Button</t>
  </si>
  <si>
    <t>Đăng ký tài khoản thành công (Hợp lệ)</t>
  </si>
  <si>
    <t>1. Truy cập trang đăng ký
2. Nhập đầy đủ Họ tên, SĐT, Email mới
3. Nhập Mật khẩu: 123456
4. Nhập Xác nhận MK: 123456
5. Click "Đăng ký"</t>
  </si>
  <si>
    <t>Hệ thống báo: "Đăng ký thành công, vui lòng kiểm tra hộp thư email để nhận mã OTP". Hiển thị ô nhập OTP.</t>
  </si>
  <si>
    <t>Đăng ký thất bại do Mật khẩu không khớp</t>
  </si>
  <si>
    <t>1. Nhập thông tin cá nhân
2. Nhập Mật khẩu: 123456
3. Nhập Xác nhận MK: 123789
4. Click "Đăng ký"</t>
  </si>
  <si>
    <t>Hệ thống báo lỗi: "Lỗi: Xác nhận mật khẩu không khớp!" và yêu cầu nhập lại.</t>
  </si>
  <si>
    <t>Đăng ký thất bại do Email đã tồn tại</t>
  </si>
  <si>
    <t>1. Nhập thông tin cá nhân
2. Nhập Email: (Email đã có trong DB)
3. Nhập mật khẩu hợp lệ
4. Click "Đăng ký"</t>
  </si>
  <si>
    <t>Hệ thống báo lỗi: "Lỗi: Email này đã được đăng ký!" và yêu cầu dùng email khác.</t>
  </si>
  <si>
    <t>Đăng ký thất bại do bỏ trống trường bắt buộc</t>
  </si>
  <si>
    <t>1. Bỏ trống trường Email
2. Điền các trường còn lại
3. Click "Đăng ký"</t>
  </si>
  <si>
    <t>Hệ thống báo lỗi: "Bạn phải nhập đầy đủ thông tin" (hoặc highlight đỏ ô Email).</t>
  </si>
  <si>
    <t>Hệ thống báo lỗi: "Bạn phải nhập đầy đủ thông tin"</t>
  </si>
  <si>
    <t>Xác thực OTP thành công</t>
  </si>
  <si>
    <t>1. Lấy mã 6 số từ Gmail
2. Nhập vào ô OTP
3. Click "Xác nhận"</t>
  </si>
  <si>
    <t>Hệ thống báo: "Xác thực email thành công! Bạn đã có thể đăng nhập", chuyển hướng về Log in.</t>
  </si>
  <si>
    <t>Hệ thống báo: "Xác thực email thành công! Bạn đã có thể đăng nhập".</t>
  </si>
  <si>
    <t>FUNC-DK06</t>
  </si>
  <si>
    <t>Xác thực OTP thất bại (Sai mã)</t>
  </si>
  <si>
    <t>1. Nhập sai mã 6 số
2. Click "Xác nhận"</t>
  </si>
  <si>
    <t>Hệ thống báo lỗi: "Lỗi: Mã OTP không chính xác hoặc đã hết hạn."</t>
  </si>
  <si>
    <t>[Từ khóa] Textbox</t>
  </si>
  <si>
    <t>Placeholder: "Nhập tên công việc, vị trí..."
Status: enable</t>
  </si>
  <si>
    <t>Placeholder: "Nhập tên công việc..."
Status: enable</t>
  </si>
  <si>
    <t>[Địa điểm], [Ngành nghề] Dropdown/Combobox</t>
  </si>
  <si>
    <t>Hiển thị danh sách thả xuống mượt mà
Status: enable</t>
  </si>
  <si>
    <t>[Tìm kiếm] Button</t>
  </si>
  <si>
    <t>Text color: white
Background: đúng thiết kế
Status: enable</t>
  </si>
  <si>
    <t>GUI_SHOW Tìm kiếm việc làm</t>
  </si>
  <si>
    <t>FUNCTION_SHOW Tìm kiếm việc làm</t>
  </si>
  <si>
    <t>Tìm kiếm thành công với từ khóa hợp lệ</t>
  </si>
  <si>
    <t>Tìm kiếm với từ khóa không tồn tại</t>
  </si>
  <si>
    <t>Tìm kiếm kết hợp bộ lọc (Filter) thành công</t>
  </si>
  <si>
    <t>Tìm kiếm khi để trống tất cả điều kiện</t>
  </si>
  <si>
    <t>Tìm kiếm kết hợp từ khóa và bộ lọc không có kết quả</t>
  </si>
  <si>
    <t>1. Truy cập trang Tìm việc
2. Nhập từ khóa: "Thực tập sinh"
3. Click "Tìm kiếm"</t>
  </si>
  <si>
    <t>1. Nhập từ khóa: "Phi hành gia"
2. Click "Tìm kiếm"</t>
  </si>
  <si>
    <t>1. Để trống từ khóa
2. Chọn Địa điểm: "Đà Nẵng"
3. Chọn Mức lương: "Dưới 10 triệu"
4. Click "Tìm kiếm"</t>
  </si>
  <si>
    <t>1. Bỏ trống ô từ khóa
2. Không chọn bộ lọc nào
3. Click "Tìm kiếm"</t>
  </si>
  <si>
    <t>1. Nhập từ khóa: "Giám đốc"
2. Chọn Mức lương: "Dưới 3 triệu"
3. Click "Tìm kiếm"</t>
  </si>
  <si>
    <t>Hệ thống trả về danh sách các công việc có tiêu đề hoặc mô tả chứa từ "Thực tập sinh".</t>
  </si>
  <si>
    <t>Trả về danh sách các công việc chứa từ "Thực tập sinh".</t>
  </si>
  <si>
    <t>Hệ thống báo: "Không tìm thấy công việc phù hợp với yêu cầu của bạn!" và gợi ý các công việc nổi bật.</t>
  </si>
  <si>
    <t>Hệ thống báo: "Không tìm thấy công việc phù hợp với yêu cầu của bạn!"</t>
  </si>
  <si>
    <t>Hệ thống lọc và hiển thị danh sách công việc tại Đà Nẵng có mức lương dưới 10 triệu.</t>
  </si>
  <si>
    <t>Hiển thị đúng danh sách công việc tại Đà Nẵng, lương dưới 10 triệu.</t>
  </si>
  <si>
    <t>Hệ thống hiển thị toàn bộ danh sách công việc mới nhất hiện có trên hệ thống, phân trang hợp lý.</t>
  </si>
  <si>
    <t>Hiển thị danh sách tất cả công việc, có phân trang.</t>
  </si>
  <si>
    <t>Hệ thống báo: "Không tìm thấy công việc phù hợp!"</t>
  </si>
  <si>
    <t>GUI_SHOW Cập nhật hồ sơ (CV)</t>
  </si>
  <si>
    <t>Các ô nhập Text (Kỹ năng, Kinh nghiệm)</t>
  </si>
  <si>
    <t>[Chọn file CV] Button</t>
  </si>
  <si>
    <t>[Lưu hồ sơ] Button</t>
  </si>
  <si>
    <t>Text color: black
Khung viền rõ ràng
 Status : enable</t>
  </si>
  <si>
    <t xml:space="preserve"> Hiển thị icon upload
Trạng thái hoạt động bình thường</t>
  </si>
  <si>
    <t>Hiển thị icon upload
Bình thường</t>
  </si>
  <si>
    <t>FUNCTION_SHOW Cập nhật hồ sơ (CV)</t>
  </si>
  <si>
    <t>GUI-TKVL01</t>
  </si>
  <si>
    <t>GUI-TKVL02</t>
  </si>
  <si>
    <t>GUI-TKVL03</t>
  </si>
  <si>
    <t>FUNC-TKVL01</t>
  </si>
  <si>
    <t>FUNC-TKVL02</t>
  </si>
  <si>
    <t>FUNC-TKVL03</t>
  </si>
  <si>
    <t>FUNC-TKVL04</t>
  </si>
  <si>
    <t>FUNC-TKVL05</t>
  </si>
  <si>
    <t>FUNC-CNHS01</t>
  </si>
  <si>
    <t>GUI-CNHS01</t>
  </si>
  <si>
    <t>GUI-CNHS02</t>
  </si>
  <si>
    <t>GUI-CNHS03</t>
  </si>
  <si>
    <t>FUNC-CNHS02</t>
  </si>
  <si>
    <t>FUNC-CNHS03</t>
  </si>
  <si>
    <t>FUNC-CNHS04</t>
  </si>
  <si>
    <t>FUNC-CNHS05</t>
  </si>
  <si>
    <t>Cập nhật thông tin dạng văn bản thành công</t>
  </si>
  <si>
    <t>Upload file CV hợp lệ</t>
  </si>
  <si>
    <t>Upload file sai định dạng</t>
  </si>
  <si>
    <t>Upload file vượt quá dung lượng cho phép</t>
  </si>
  <si>
    <t>Bỏ trống các trường bắt buộc</t>
  </si>
  <si>
    <t>1. Nhập Kỹ năng: "Java, Spring Boot"
2. Nhập Kinh nghiệm: "Thực tập sinh 3 tháng"
3. Click "Lưu hồ sơ"</t>
  </si>
  <si>
    <t>1. Click "Chọn file CV"
2. Chọn file ho_so_hien.pdf (Dung lượng 2MB)
3. Click "Lưu hồ sơ"</t>
  </si>
  <si>
    <t>1. Click "Chọn file CV"
2. Chọn một file đuôi .mp3 hoặc .exe
3. Click "Lưu hồ sơ"</t>
  </si>
  <si>
    <t>1. Click "Chọn file CV"
2. Chọn file ho_so.pdf (Dung lượng 15MB)
3. Click "Lưu hồ sơ"</t>
  </si>
  <si>
    <t>1. Xóa trắng nội dung ở phần Kỹ năng
2. Click "Lưu hồ sơ"</t>
  </si>
  <si>
    <t>Hệ thống báo: "Cập nhật hồ sơ thành công!". Dữ liệu mới được hiển thị ngay trên trang cá nhân.</t>
  </si>
  <si>
    <t>Báo "Cập nhật hồ sơ thành công!". Dữ liệu được lưu và hiển thị đúng.</t>
  </si>
  <si>
    <t>Hệ thống tải file lên thành công, thông báo "Cập nhật CV thành công!" và hiển thị tên file vừa tải.</t>
  </si>
  <si>
    <t>Tải file thành công, có hiển thị tên file.</t>
  </si>
  <si>
    <t>Hệ thống báo lỗi: "Chỉ hỗ trợ tải lên định dạng PDF hoặc DOCX!" và không lưu file.</t>
  </si>
  <si>
    <t>Hệ thống chặn lại và báo lỗi đúng định dạng.</t>
  </si>
  <si>
    <t>Hệ thống báo lỗi: "Dung lượng file vượt quá giới hạn (Tối đa 5MB)!" và từ chối lưu.</t>
  </si>
  <si>
    <t>Hệ thống báo lỗi vượt quá dung lượng 5MB.</t>
  </si>
  <si>
    <t>Hệ thống cảnh báo: "Vui lòng nhập tối thiểu 1 kỹ năng chuyên môn!"</t>
  </si>
  <si>
    <t>Hệ thống highlight đỏ ô Kỹ năng và báo lỗi.</t>
  </si>
  <si>
    <t>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</si>
</sst>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37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4"/>
      <color indexed="63"/>
      <name val="Times New Roman"/>
      <family val="1"/>
    </font>
    <font>
      <sz val="18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0"/>
      <name val="Calibri"/>
      <family val="2"/>
      <scheme val="minor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0"/>
        <bgColor indexed="41"/>
      </patternFill>
    </fill>
  </fills>
  <borders count="3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197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6" fillId="0" borderId="0" xfId="0" applyFont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6" fillId="0" borderId="6" xfId="0" applyFont="1" applyBorder="1" applyAlignment="1">
      <alignment vertical="center" wrapText="1"/>
    </xf>
    <xf numFmtId="0" fontId="12" fillId="0" borderId="5" xfId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 vertical="top"/>
    </xf>
    <xf numFmtId="0" fontId="6" fillId="0" borderId="5" xfId="0" applyFont="1" applyBorder="1" applyAlignment="1">
      <alignment horizontal="center"/>
    </xf>
    <xf numFmtId="0" fontId="12" fillId="0" borderId="6" xfId="1" applyFont="1" applyBorder="1" applyProtection="1">
      <alignment vertical="center"/>
    </xf>
    <xf numFmtId="0" fontId="18" fillId="0" borderId="6" xfId="1" applyFont="1" applyBorder="1" applyAlignment="1" applyProtection="1">
      <alignment vertical="top" wrapText="1"/>
    </xf>
    <xf numFmtId="0" fontId="5" fillId="0" borderId="6" xfId="1" applyFont="1" applyBorder="1" applyAlignment="1" applyProtection="1">
      <alignment wrapText="1"/>
    </xf>
    <xf numFmtId="0" fontId="12" fillId="0" borderId="3" xfId="1" applyFont="1" applyBorder="1" applyProtection="1">
      <alignment vertical="center"/>
    </xf>
    <xf numFmtId="0" fontId="18" fillId="0" borderId="3" xfId="1" applyFont="1" applyBorder="1" applyAlignment="1" applyProtection="1">
      <alignment vertical="top" wrapText="1"/>
    </xf>
    <xf numFmtId="0" fontId="12" fillId="0" borderId="3" xfId="1" applyFont="1" applyBorder="1" applyAlignment="1" applyProtection="1"/>
    <xf numFmtId="0" fontId="19" fillId="0" borderId="3" xfId="1" applyFont="1" applyBorder="1" applyAlignment="1" applyProtection="1"/>
    <xf numFmtId="0" fontId="4" fillId="2" borderId="3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/>
    </xf>
    <xf numFmtId="165" fontId="5" fillId="0" borderId="3" xfId="2" applyNumberFormat="1" applyFont="1" applyBorder="1" applyAlignment="1" applyProtection="1">
      <alignment horizontal="center"/>
    </xf>
    <xf numFmtId="1" fontId="5" fillId="0" borderId="3" xfId="2" applyNumberFormat="1" applyFont="1" applyBorder="1" applyAlignment="1" applyProtection="1">
      <alignment horizontal="center"/>
    </xf>
    <xf numFmtId="0" fontId="5" fillId="0" borderId="18" xfId="1" applyFont="1" applyBorder="1" applyAlignment="1" applyProtection="1">
      <alignment horizontal="center"/>
    </xf>
    <xf numFmtId="165" fontId="5" fillId="0" borderId="18" xfId="2" applyNumberFormat="1" applyFont="1" applyBorder="1" applyAlignment="1" applyProtection="1">
      <alignment horizontal="center"/>
    </xf>
    <xf numFmtId="1" fontId="5" fillId="0" borderId="18" xfId="2" applyNumberFormat="1" applyFont="1" applyBorder="1" applyAlignment="1" applyProtection="1">
      <alignment horizontal="center"/>
    </xf>
    <xf numFmtId="0" fontId="5" fillId="2" borderId="3" xfId="1" applyFont="1" applyFill="1" applyBorder="1" applyAlignment="1" applyProtection="1">
      <alignment horizontal="center"/>
    </xf>
    <xf numFmtId="0" fontId="4" fillId="2" borderId="3" xfId="1" applyFont="1" applyFill="1" applyBorder="1" applyAlignment="1" applyProtection="1"/>
    <xf numFmtId="165" fontId="4" fillId="2" borderId="3" xfId="1" applyNumberFormat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8" xfId="1" applyFont="1" applyFill="1" applyBorder="1" applyAlignment="1" applyProtection="1"/>
    <xf numFmtId="0" fontId="12" fillId="3" borderId="9" xfId="1" applyFont="1" applyFill="1" applyBorder="1" applyAlignment="1" applyProtection="1">
      <alignment horizontal="center"/>
    </xf>
    <xf numFmtId="0" fontId="20" fillId="3" borderId="10" xfId="1" applyFont="1" applyFill="1" applyBorder="1" applyAlignment="1" applyProtection="1">
      <alignment horizontal="center"/>
    </xf>
    <xf numFmtId="0" fontId="20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20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11" xfId="1" applyFont="1" applyBorder="1" applyAlignment="1" applyProtection="1">
      <alignment horizontal="left"/>
    </xf>
    <xf numFmtId="0" fontId="5" fillId="0" borderId="12" xfId="1" applyFont="1" applyBorder="1" applyAlignment="1" applyProtection="1"/>
    <xf numFmtId="0" fontId="5" fillId="0" borderId="11" xfId="1" applyFont="1" applyBorder="1" applyAlignment="1" applyProtection="1"/>
    <xf numFmtId="2" fontId="12" fillId="0" borderId="7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5" fillId="0" borderId="13" xfId="1" applyFont="1" applyBorder="1" applyAlignment="1" applyProtection="1"/>
    <xf numFmtId="0" fontId="12" fillId="0" borderId="14" xfId="1" applyFont="1" applyBorder="1" applyAlignment="1" applyProtection="1">
      <alignment horizontal="left"/>
    </xf>
    <xf numFmtId="0" fontId="5" fillId="0" borderId="15" xfId="1" applyFont="1" applyBorder="1" applyAlignment="1" applyProtection="1"/>
    <xf numFmtId="0" fontId="5" fillId="0" borderId="16" xfId="1" applyFont="1" applyBorder="1" applyAlignment="1" applyProtection="1"/>
    <xf numFmtId="2" fontId="12" fillId="0" borderId="17" xfId="1" applyNumberFormat="1" applyFont="1" applyBorder="1" applyAlignment="1" applyProtection="1">
      <alignment horizontal="right" wrapText="1"/>
    </xf>
    <xf numFmtId="0" fontId="5" fillId="0" borderId="13" xfId="1" applyFont="1" applyBorder="1" applyProtection="1">
      <alignment vertical="center"/>
    </xf>
    <xf numFmtId="0" fontId="5" fillId="0" borderId="13" xfId="1" applyFont="1" applyBorder="1" applyAlignment="1" applyProtection="1">
      <alignment horizontal="center" wrapText="1"/>
    </xf>
    <xf numFmtId="0" fontId="15" fillId="0" borderId="0" xfId="0" applyFont="1" applyAlignment="1">
      <alignment horizontal="center" vertical="top"/>
    </xf>
    <xf numFmtId="164" fontId="15" fillId="0" borderId="0" xfId="0" applyNumberFormat="1" applyFont="1"/>
    <xf numFmtId="0" fontId="15" fillId="0" borderId="0" xfId="0" applyFont="1"/>
    <xf numFmtId="0" fontId="13" fillId="0" borderId="0" xfId="0" applyFont="1"/>
    <xf numFmtId="0" fontId="21" fillId="0" borderId="0" xfId="0" applyFont="1"/>
    <xf numFmtId="0" fontId="15" fillId="0" borderId="0" xfId="0" applyFont="1" applyAlignment="1">
      <alignment horizontal="left" vertical="top" wrapText="1"/>
    </xf>
    <xf numFmtId="0" fontId="16" fillId="0" borderId="22" xfId="0" applyFont="1" applyBorder="1" applyAlignment="1">
      <alignment horizontal="center"/>
    </xf>
    <xf numFmtId="0" fontId="16" fillId="0" borderId="22" xfId="0" applyFont="1" applyBorder="1" applyAlignment="1">
      <alignment vertical="center" wrapText="1"/>
    </xf>
    <xf numFmtId="9" fontId="20" fillId="3" borderId="23" xfId="2" applyFont="1" applyFill="1" applyBorder="1" applyAlignment="1" applyProtection="1">
      <alignment horizontal="center"/>
    </xf>
    <xf numFmtId="0" fontId="5" fillId="0" borderId="23" xfId="1" applyFont="1" applyBorder="1" applyAlignment="1" applyProtection="1">
      <alignment horizontal="center" wrapText="1"/>
    </xf>
    <xf numFmtId="0" fontId="5" fillId="0" borderId="24" xfId="1" applyFont="1" applyBorder="1" applyAlignment="1" applyProtection="1">
      <alignment horizontal="center" wrapText="1"/>
    </xf>
    <xf numFmtId="0" fontId="6" fillId="0" borderId="18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5" xfId="0" applyFont="1" applyBorder="1" applyAlignment="1">
      <alignment vertical="center" wrapText="1"/>
    </xf>
    <xf numFmtId="0" fontId="5" fillId="0" borderId="26" xfId="1" applyFont="1" applyBorder="1" applyAlignment="1" applyProtection="1">
      <alignment horizontal="center"/>
    </xf>
    <xf numFmtId="165" fontId="5" fillId="0" borderId="26" xfId="2" applyNumberFormat="1" applyFont="1" applyBorder="1" applyAlignment="1" applyProtection="1">
      <alignment horizontal="center"/>
    </xf>
    <xf numFmtId="1" fontId="5" fillId="0" borderId="26" xfId="2" applyNumberFormat="1" applyFont="1" applyBorder="1" applyAlignment="1" applyProtection="1">
      <alignment horizontal="center"/>
    </xf>
    <xf numFmtId="0" fontId="12" fillId="1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22" fillId="0" borderId="0" xfId="0" applyFont="1"/>
    <xf numFmtId="0" fontId="5" fillId="0" borderId="18" xfId="1" applyFont="1" applyBorder="1" applyAlignment="1" applyProtection="1">
      <alignment horizontal="center" vertical="center" wrapText="1"/>
    </xf>
    <xf numFmtId="0" fontId="4" fillId="2" borderId="18" xfId="0" applyFont="1" applyFill="1" applyBorder="1" applyAlignment="1">
      <alignment horizontal="center" vertical="top" wrapText="1"/>
    </xf>
    <xf numFmtId="164" fontId="4" fillId="2" borderId="18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26" fillId="5" borderId="3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12" fillId="0" borderId="0" xfId="0" applyFont="1"/>
    <xf numFmtId="0" fontId="27" fillId="0" borderId="0" xfId="0" applyFont="1"/>
    <xf numFmtId="0" fontId="5" fillId="0" borderId="0" xfId="0" applyFont="1" applyAlignment="1">
      <alignment horizontal="left" vertical="top" wrapText="1"/>
    </xf>
    <xf numFmtId="0" fontId="6" fillId="0" borderId="18" xfId="0" applyFont="1" applyBorder="1"/>
    <xf numFmtId="0" fontId="17" fillId="0" borderId="18" xfId="0" applyFont="1" applyBorder="1"/>
    <xf numFmtId="0" fontId="6" fillId="0" borderId="18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6" fillId="0" borderId="18" xfId="1" applyFont="1" applyBorder="1" applyAlignment="1" applyProtection="1">
      <alignment horizontal="center" vertical="center"/>
    </xf>
    <xf numFmtId="0" fontId="29" fillId="0" borderId="18" xfId="0" applyFont="1" applyBorder="1" applyAlignment="1">
      <alignment horizontal="right" vertical="center" wrapText="1"/>
    </xf>
    <xf numFmtId="0" fontId="17" fillId="2" borderId="1" xfId="0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14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17" fillId="0" borderId="18" xfId="0" applyFont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vertical="center" wrapText="1"/>
    </xf>
    <xf numFmtId="0" fontId="32" fillId="11" borderId="18" xfId="0" applyFont="1" applyFill="1" applyBorder="1" applyAlignment="1">
      <alignment horizontal="center" vertical="center"/>
    </xf>
    <xf numFmtId="164" fontId="32" fillId="11" borderId="18" xfId="0" applyNumberFormat="1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164" fontId="32" fillId="2" borderId="18" xfId="0" applyNumberFormat="1" applyFont="1" applyFill="1" applyBorder="1" applyAlignment="1">
      <alignment horizontal="center" vertical="center"/>
    </xf>
    <xf numFmtId="0" fontId="32" fillId="5" borderId="18" xfId="0" applyFont="1" applyFill="1" applyBorder="1"/>
    <xf numFmtId="0" fontId="34" fillId="2" borderId="18" xfId="0" applyFont="1" applyFill="1" applyBorder="1" applyAlignment="1">
      <alignment horizontal="center" vertical="center"/>
    </xf>
    <xf numFmtId="0" fontId="34" fillId="2" borderId="18" xfId="0" applyFont="1" applyFill="1" applyBorder="1" applyAlignment="1">
      <alignment horizontal="left" vertical="center" wrapText="1"/>
    </xf>
    <xf numFmtId="0" fontId="32" fillId="5" borderId="18" xfId="0" applyFont="1" applyFill="1" applyBorder="1" applyAlignment="1">
      <alignment horizontal="center" vertical="center"/>
    </xf>
    <xf numFmtId="0" fontId="32" fillId="5" borderId="18" xfId="0" applyFont="1" applyFill="1" applyBorder="1" applyAlignment="1">
      <alignment horizontal="center" vertical="center" wrapText="1"/>
    </xf>
    <xf numFmtId="0" fontId="35" fillId="10" borderId="18" xfId="0" applyFont="1" applyFill="1" applyBorder="1" applyAlignment="1">
      <alignment horizontal="center" vertical="center"/>
    </xf>
    <xf numFmtId="164" fontId="35" fillId="10" borderId="18" xfId="0" applyNumberFormat="1" applyFont="1" applyFill="1" applyBorder="1" applyAlignment="1">
      <alignment horizontal="center" vertical="center"/>
    </xf>
    <xf numFmtId="0" fontId="32" fillId="5" borderId="18" xfId="0" applyFont="1" applyFill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5" fillId="0" borderId="18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33" fillId="8" borderId="18" xfId="0" applyFont="1" applyFill="1" applyBorder="1" applyAlignment="1">
      <alignment horizontal="center" vertical="center"/>
    </xf>
    <xf numFmtId="0" fontId="32" fillId="8" borderId="18" xfId="0" applyFont="1" applyFill="1" applyBorder="1" applyAlignment="1">
      <alignment horizontal="center" vertical="center"/>
    </xf>
    <xf numFmtId="0" fontId="36" fillId="8" borderId="18" xfId="0" applyFont="1" applyFill="1" applyBorder="1" applyAlignment="1">
      <alignment horizontal="center" vertical="center"/>
    </xf>
    <xf numFmtId="0" fontId="35" fillId="10" borderId="18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  <xf numFmtId="0" fontId="17" fillId="4" borderId="27" xfId="0" applyFont="1" applyFill="1" applyBorder="1" applyAlignment="1">
      <alignment horizontal="left" vertical="center"/>
    </xf>
    <xf numFmtId="0" fontId="17" fillId="4" borderId="28" xfId="0" applyFont="1" applyFill="1" applyBorder="1" applyAlignment="1">
      <alignment horizontal="left" vertical="center"/>
    </xf>
    <xf numFmtId="0" fontId="35" fillId="10" borderId="18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2" fillId="0" borderId="5" xfId="1" applyFont="1" applyBorder="1" applyAlignment="1" applyProtection="1">
      <alignment horizontal="left"/>
    </xf>
    <xf numFmtId="0" fontId="12" fillId="0" borderId="19" xfId="1" applyFont="1" applyBorder="1" applyAlignment="1" applyProtection="1">
      <alignment horizontal="center" vertical="top"/>
    </xf>
    <xf numFmtId="0" fontId="12" fillId="0" borderId="20" xfId="1" applyFont="1" applyBorder="1" applyAlignment="1" applyProtection="1">
      <alignment horizontal="center" vertical="top"/>
    </xf>
    <xf numFmtId="0" fontId="12" fillId="0" borderId="21" xfId="1" applyFont="1" applyBorder="1" applyAlignment="1" applyProtection="1">
      <alignment horizontal="center" vertical="top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/>
    </xf>
    <xf numFmtId="164" fontId="12" fillId="0" borderId="3" xfId="1" applyNumberFormat="1" applyFont="1" applyBorder="1" applyAlignment="1" applyProtection="1">
      <alignment horizontal="center" vertical="center"/>
    </xf>
    <xf numFmtId="0" fontId="12" fillId="0" borderId="3" xfId="1" applyFont="1" applyBorder="1" applyAlignment="1" applyProtection="1">
      <alignment horizontal="center" vertical="center" wrapText="1"/>
    </xf>
    <xf numFmtId="0" fontId="18" fillId="0" borderId="6" xfId="1" applyFont="1" applyBorder="1" applyAlignment="1" applyProtection="1">
      <alignment vertical="top" wrapText="1"/>
    </xf>
    <xf numFmtId="0" fontId="12" fillId="0" borderId="3" xfId="1" applyFont="1" applyBorder="1" applyAlignment="1" applyProtection="1">
      <alignment horizontal="center" vertical="center"/>
    </xf>
    <xf numFmtId="15" fontId="6" fillId="0" borderId="19" xfId="0" applyNumberFormat="1" applyFont="1" applyBorder="1" applyAlignment="1">
      <alignment horizontal="center"/>
    </xf>
    <xf numFmtId="15" fontId="6" fillId="0" borderId="20" xfId="0" applyNumberFormat="1" applyFont="1" applyBorder="1" applyAlignment="1">
      <alignment horizontal="center"/>
    </xf>
    <xf numFmtId="15" fontId="6" fillId="0" borderId="21" xfId="0" applyNumberFormat="1" applyFont="1" applyBorder="1" applyAlignment="1">
      <alignment horizontal="center"/>
    </xf>
    <xf numFmtId="0" fontId="12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32" fillId="11" borderId="18" xfId="0" applyFont="1" applyFill="1" applyBorder="1" applyAlignment="1">
      <alignment horizontal="center" vertical="center"/>
    </xf>
    <xf numFmtId="0" fontId="32" fillId="11" borderId="18" xfId="0" applyFont="1" applyFill="1" applyBorder="1" applyAlignment="1">
      <alignment horizontal="center" vertical="center" wrapText="1"/>
    </xf>
    <xf numFmtId="0" fontId="33" fillId="9" borderId="18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left" vertical="center"/>
    </xf>
    <xf numFmtId="0" fontId="17" fillId="7" borderId="27" xfId="0" applyFont="1" applyFill="1" applyBorder="1" applyAlignment="1">
      <alignment horizontal="left" vertical="center"/>
    </xf>
    <xf numFmtId="0" fontId="17" fillId="7" borderId="28" xfId="0" applyFont="1" applyFill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32" fillId="2" borderId="18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vertical="center"/>
    </xf>
    <xf numFmtId="0" fontId="17" fillId="4" borderId="18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left" vertical="center" wrapText="1"/>
    </xf>
    <xf numFmtId="0" fontId="5" fillId="3" borderId="18" xfId="3" applyFont="1" applyFill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911468</xdr:colOff>
      <xdr:row>5</xdr:row>
      <xdr:rowOff>208767</xdr:rowOff>
    </xdr:from>
    <xdr:to>
      <xdr:col>5</xdr:col>
      <xdr:colOff>913157</xdr:colOff>
      <xdr:row>5</xdr:row>
      <xdr:rowOff>4911954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8975" y="1242164"/>
          <a:ext cx="6118566" cy="4703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1069837</xdr:colOff>
      <xdr:row>5</xdr:row>
      <xdr:rowOff>195943</xdr:rowOff>
    </xdr:from>
    <xdr:to>
      <xdr:col>5</xdr:col>
      <xdr:colOff>1273628</xdr:colOff>
      <xdr:row>6</xdr:row>
      <xdr:rowOff>3052781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837" y="1240972"/>
          <a:ext cx="8259220" cy="53714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903513</xdr:colOff>
      <xdr:row>5</xdr:row>
      <xdr:rowOff>522514</xdr:rowOff>
    </xdr:from>
    <xdr:to>
      <xdr:col>6</xdr:col>
      <xdr:colOff>304904</xdr:colOff>
      <xdr:row>5</xdr:row>
      <xdr:rowOff>3897085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13" y="1567543"/>
          <a:ext cx="11092648" cy="3374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1057276</xdr:colOff>
      <xdr:row>6</xdr:row>
      <xdr:rowOff>66676</xdr:rowOff>
    </xdr:from>
    <xdr:to>
      <xdr:col>5</xdr:col>
      <xdr:colOff>47626</xdr:colOff>
      <xdr:row>27</xdr:row>
      <xdr:rowOff>178573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6" y="1247776"/>
          <a:ext cx="6515100" cy="39123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oTinPC\OneDrive\M&#225;y%20t&#237;nh\BaoCaoDoAn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Normal="100" workbookViewId="0">
      <selection activeCell="B8" sqref="B8"/>
    </sheetView>
  </sheetViews>
  <sheetFormatPr defaultColWidth="9.109375" defaultRowHeight="16.8"/>
  <cols>
    <col min="1" max="1" width="42.5546875" style="11" customWidth="1"/>
    <col min="2" max="2" width="37.21875" style="11" customWidth="1"/>
    <col min="3" max="3" width="39.109375" style="11" customWidth="1"/>
    <col min="4" max="4" width="94.44140625" style="11" bestFit="1" customWidth="1"/>
    <col min="5" max="16384" width="9.109375" style="11"/>
  </cols>
  <sheetData>
    <row r="1" spans="1:4" ht="16.5" customHeight="1">
      <c r="A1" s="146" t="s">
        <v>71</v>
      </c>
      <c r="B1" s="147"/>
      <c r="C1" s="147"/>
      <c r="D1" s="148"/>
    </row>
    <row r="2" spans="1:4" ht="19.5" customHeight="1">
      <c r="A2" s="149"/>
      <c r="B2" s="150"/>
      <c r="C2" s="150"/>
      <c r="D2" s="151"/>
    </row>
    <row r="3" spans="1:4" ht="33.75" customHeight="1">
      <c r="A3" s="105" t="s">
        <v>13</v>
      </c>
      <c r="B3" s="152" t="s">
        <v>91</v>
      </c>
      <c r="C3" s="153"/>
      <c r="D3" s="154"/>
    </row>
    <row r="4" spans="1:4">
      <c r="A4" s="105" t="s">
        <v>11</v>
      </c>
      <c r="B4" s="105" t="s">
        <v>10</v>
      </c>
      <c r="C4" s="105" t="s">
        <v>1</v>
      </c>
      <c r="D4" s="105" t="s">
        <v>12</v>
      </c>
    </row>
    <row r="5" spans="1:4">
      <c r="A5" s="113">
        <v>1</v>
      </c>
      <c r="B5" s="114" t="s">
        <v>42</v>
      </c>
      <c r="C5" s="114" t="s">
        <v>42</v>
      </c>
      <c r="D5" t="s">
        <v>92</v>
      </c>
    </row>
    <row r="6" spans="1:4" ht="23.25" customHeight="1">
      <c r="A6" s="115">
        <v>2</v>
      </c>
      <c r="B6" s="116" t="s">
        <v>83</v>
      </c>
      <c r="C6" s="116" t="s">
        <v>83</v>
      </c>
      <c r="D6" t="s">
        <v>93</v>
      </c>
    </row>
    <row r="7" spans="1:4" ht="22.5" customHeight="1">
      <c r="A7" s="115">
        <v>3</v>
      </c>
      <c r="B7" s="116" t="s">
        <v>89</v>
      </c>
      <c r="C7" s="116" t="s">
        <v>89</v>
      </c>
      <c r="D7" t="s">
        <v>94</v>
      </c>
    </row>
    <row r="8" spans="1:4" ht="21.75" customHeight="1">
      <c r="A8" s="117">
        <v>4</v>
      </c>
      <c r="B8" s="118" t="s">
        <v>90</v>
      </c>
      <c r="C8" s="118" t="s">
        <v>90</v>
      </c>
      <c r="D8" s="131" t="s">
        <v>95</v>
      </c>
    </row>
  </sheetData>
  <mergeCells count="2"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21875" style="7" bestFit="1" customWidth="1"/>
    <col min="3" max="3" width="11.77734375" style="7" customWidth="1"/>
    <col min="4" max="10" width="9.109375" style="7"/>
    <col min="11" max="11" width="13.5546875" style="7" customWidth="1"/>
    <col min="12" max="12" width="14.21875" style="7" customWidth="1"/>
    <col min="13" max="16384" width="9.109375" style="7"/>
  </cols>
  <sheetData>
    <row r="1" spans="1:16" s="1" customFormat="1" ht="24.6">
      <c r="A1" s="163" t="s">
        <v>28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16" t="s">
        <v>13</v>
      </c>
      <c r="B3" s="164" t="s">
        <v>49</v>
      </c>
      <c r="C3" s="164"/>
      <c r="D3" s="17"/>
      <c r="E3" s="156" t="s">
        <v>7</v>
      </c>
      <c r="F3" s="156"/>
      <c r="G3" s="156"/>
      <c r="H3" s="157" t="s">
        <v>17</v>
      </c>
      <c r="I3" s="158"/>
      <c r="J3" s="158"/>
      <c r="K3" s="159"/>
      <c r="L3" s="18"/>
      <c r="M3" s="18"/>
      <c r="N3" s="18"/>
      <c r="O3" s="18"/>
      <c r="P3" s="18"/>
    </row>
    <row r="4" spans="1:16" s="1" customFormat="1" ht="16.8">
      <c r="A4" s="16"/>
      <c r="B4" s="155"/>
      <c r="C4" s="155"/>
      <c r="D4" s="19"/>
      <c r="E4" s="156" t="s">
        <v>18</v>
      </c>
      <c r="F4" s="156"/>
      <c r="G4" s="156"/>
      <c r="H4" s="160" t="s">
        <v>19</v>
      </c>
      <c r="I4" s="161"/>
      <c r="J4" s="161"/>
      <c r="K4" s="162"/>
      <c r="L4" s="19"/>
      <c r="M4" s="18"/>
      <c r="N4" s="18"/>
      <c r="O4" s="18"/>
      <c r="P4" s="18"/>
    </row>
    <row r="5" spans="1:16" s="1" customFormat="1" ht="16.8">
      <c r="A5" s="16"/>
      <c r="B5" s="155"/>
      <c r="C5" s="155"/>
      <c r="D5" s="19"/>
      <c r="E5" s="156" t="s">
        <v>20</v>
      </c>
      <c r="F5" s="156"/>
      <c r="G5" s="156"/>
      <c r="H5" s="169">
        <v>44114</v>
      </c>
      <c r="I5" s="170"/>
      <c r="J5" s="170"/>
      <c r="K5" s="171"/>
      <c r="L5" s="19"/>
      <c r="M5" s="18"/>
      <c r="N5" s="18"/>
      <c r="O5" s="18"/>
      <c r="P5" s="18"/>
    </row>
    <row r="6" spans="1:16" s="1" customFormat="1" ht="20.25" customHeight="1">
      <c r="A6" s="20" t="s">
        <v>21</v>
      </c>
      <c r="B6" s="167" t="s">
        <v>22</v>
      </c>
      <c r="C6" s="167"/>
      <c r="D6" s="167"/>
      <c r="E6" s="167"/>
      <c r="F6" s="167"/>
      <c r="G6" s="167"/>
      <c r="H6" s="167"/>
      <c r="I6" s="167"/>
      <c r="J6" s="167"/>
      <c r="K6" s="167"/>
      <c r="L6" s="21"/>
      <c r="M6" s="22"/>
      <c r="N6" s="22"/>
      <c r="O6" s="22"/>
      <c r="P6" s="22"/>
    </row>
    <row r="7" spans="1:16" s="1" customFormat="1" ht="20.25" customHeight="1">
      <c r="A7" s="23"/>
      <c r="B7" s="24"/>
      <c r="C7" s="168" t="s">
        <v>23</v>
      </c>
      <c r="D7" s="168"/>
      <c r="E7" s="168" t="s">
        <v>24</v>
      </c>
      <c r="F7" s="168"/>
      <c r="G7" s="168" t="s">
        <v>32</v>
      </c>
      <c r="H7" s="168"/>
      <c r="I7" s="168" t="s">
        <v>25</v>
      </c>
      <c r="J7" s="168"/>
      <c r="K7" s="168" t="s">
        <v>26</v>
      </c>
      <c r="L7" s="168"/>
      <c r="M7" s="165" t="s">
        <v>27</v>
      </c>
      <c r="N7" s="165"/>
      <c r="O7" s="166" t="s">
        <v>48</v>
      </c>
      <c r="P7" s="166"/>
    </row>
    <row r="8" spans="1:16" s="1" customFormat="1" ht="16.8">
      <c r="A8" s="25"/>
      <c r="B8" s="26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5"/>
      <c r="N8" s="165"/>
      <c r="O8" s="166"/>
      <c r="P8" s="166"/>
    </row>
    <row r="9" spans="1:16" s="5" customFormat="1" ht="22.5" customHeight="1">
      <c r="A9" s="27" t="s">
        <v>11</v>
      </c>
      <c r="B9" s="27" t="s">
        <v>14</v>
      </c>
      <c r="C9" s="28" t="s">
        <v>15</v>
      </c>
      <c r="D9" s="28" t="s">
        <v>16</v>
      </c>
      <c r="E9" s="28" t="s">
        <v>15</v>
      </c>
      <c r="F9" s="28" t="s">
        <v>16</v>
      </c>
      <c r="G9" s="28" t="s">
        <v>15</v>
      </c>
      <c r="H9" s="28" t="s">
        <v>16</v>
      </c>
      <c r="I9" s="27" t="s">
        <v>15</v>
      </c>
      <c r="J9" s="28" t="s">
        <v>16</v>
      </c>
      <c r="K9" s="28" t="s">
        <v>15</v>
      </c>
      <c r="L9" s="28" t="s">
        <v>16</v>
      </c>
      <c r="M9" s="28" t="s">
        <v>15</v>
      </c>
      <c r="N9" s="28" t="s">
        <v>16</v>
      </c>
      <c r="O9" s="28" t="s">
        <v>15</v>
      </c>
      <c r="P9" s="28" t="s">
        <v>16</v>
      </c>
    </row>
    <row r="10" spans="1:16" s="1" customFormat="1" ht="31.65" customHeight="1">
      <c r="A10" s="12">
        <v>1</v>
      </c>
      <c r="B10" s="13" t="s">
        <v>42</v>
      </c>
      <c r="C10" s="29">
        <v>15</v>
      </c>
      <c r="D10" s="29">
        <v>15</v>
      </c>
      <c r="E10" s="29">
        <v>0</v>
      </c>
      <c r="F10" s="29">
        <f>'[1]Show Bus Routes List'!C6</f>
        <v>0</v>
      </c>
      <c r="G10" s="29">
        <f>'[1]Show Bus Routes List'!D5</f>
        <v>0</v>
      </c>
      <c r="H10" s="29">
        <f>'[1]Show Bus Routes List'!D6</f>
        <v>0</v>
      </c>
      <c r="I10" s="29">
        <f>'[1]Show Bus Routes List'!E5</f>
        <v>0</v>
      </c>
      <c r="J10" s="29">
        <f>'[1]Show Bus Routes List'!E6</f>
        <v>0</v>
      </c>
      <c r="K10" s="29">
        <v>15</v>
      </c>
      <c r="L10" s="29">
        <v>15</v>
      </c>
      <c r="M10" s="30">
        <f>ROUND(C10*100/K10,1)</f>
        <v>100</v>
      </c>
      <c r="N10" s="30">
        <f t="shared" ref="N10:N20" si="0">ROUND(D10*100/L10,1)</f>
        <v>100</v>
      </c>
      <c r="O10" s="30">
        <f t="shared" ref="O10:P17" si="1">ROUND((C10+E10)*100/K10,1)</f>
        <v>100</v>
      </c>
      <c r="P10" s="31">
        <f t="shared" si="1"/>
        <v>100</v>
      </c>
    </row>
    <row r="11" spans="1:16" s="1" customFormat="1" ht="31.65" customHeight="1">
      <c r="A11" s="71">
        <v>2</v>
      </c>
      <c r="B11" s="13" t="s">
        <v>59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30"/>
      <c r="O11" s="30"/>
      <c r="P11" s="31"/>
    </row>
    <row r="12" spans="1:16" s="1" customFormat="1" ht="45" customHeight="1">
      <c r="A12" s="12">
        <v>3</v>
      </c>
      <c r="B12" s="13" t="s">
        <v>70</v>
      </c>
      <c r="C12" s="29">
        <v>12</v>
      </c>
      <c r="D12" s="29">
        <v>12</v>
      </c>
      <c r="E12" s="29">
        <v>0</v>
      </c>
      <c r="F12" s="29">
        <f>'[1]Show Bus Stops List'!C6</f>
        <v>0</v>
      </c>
      <c r="G12" s="29">
        <f>'[1]Show Bus Stops List'!D5</f>
        <v>0</v>
      </c>
      <c r="H12" s="29">
        <f>'[1]Show Bus Stops List'!D6</f>
        <v>0</v>
      </c>
      <c r="I12" s="29">
        <f>'[1]Show Bus Stops List'!E5</f>
        <v>0</v>
      </c>
      <c r="J12" s="29">
        <f>'[1]Show Bus Stops List'!E6</f>
        <v>0</v>
      </c>
      <c r="K12" s="29">
        <v>12</v>
      </c>
      <c r="L12" s="29">
        <v>12</v>
      </c>
      <c r="M12" s="30">
        <f t="shared" ref="M12:M20" si="2">ROUND(C12*100/K12,1)</f>
        <v>100</v>
      </c>
      <c r="N12" s="30">
        <f t="shared" si="0"/>
        <v>100</v>
      </c>
      <c r="O12" s="30">
        <f t="shared" si="1"/>
        <v>100</v>
      </c>
      <c r="P12" s="31">
        <f t="shared" si="1"/>
        <v>100</v>
      </c>
    </row>
    <row r="13" spans="1:16" s="1" customFormat="1" ht="45" customHeight="1">
      <c r="A13" s="72">
        <v>4</v>
      </c>
      <c r="B13" s="73" t="s">
        <v>69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5"/>
      <c r="N13" s="75"/>
      <c r="O13" s="75"/>
      <c r="P13" s="76"/>
    </row>
    <row r="14" spans="1:16" s="1" customFormat="1" ht="33.75" customHeight="1">
      <c r="A14" s="14">
        <v>5</v>
      </c>
      <c r="B14" s="15" t="s">
        <v>60</v>
      </c>
      <c r="C14" s="32">
        <v>8</v>
      </c>
      <c r="D14" s="32">
        <v>8</v>
      </c>
      <c r="E14" s="32" t="e">
        <f>#REF!</f>
        <v>#REF!</v>
      </c>
      <c r="F14" s="32" t="e">
        <f>#REF!</f>
        <v>#REF!</v>
      </c>
      <c r="G14" s="32" t="e">
        <f>#REF!</f>
        <v>#REF!</v>
      </c>
      <c r="H14" s="32" t="e">
        <f>#REF!</f>
        <v>#REF!</v>
      </c>
      <c r="I14" s="32" t="e">
        <f>#REF!</f>
        <v>#REF!</v>
      </c>
      <c r="J14" s="32" t="e">
        <f>#REF!</f>
        <v>#REF!</v>
      </c>
      <c r="K14" s="32">
        <v>4</v>
      </c>
      <c r="L14" s="32">
        <v>4</v>
      </c>
      <c r="M14" s="30">
        <f t="shared" si="2"/>
        <v>200</v>
      </c>
      <c r="N14" s="30">
        <f t="shared" si="0"/>
        <v>200</v>
      </c>
      <c r="O14" s="30" t="e">
        <f>ROUND((C14+E14)*100/K14,1)</f>
        <v>#REF!</v>
      </c>
      <c r="P14" s="31" t="e">
        <f t="shared" si="1"/>
        <v>#REF!</v>
      </c>
    </row>
    <row r="15" spans="1:16" s="1" customFormat="1" ht="33.75" customHeight="1">
      <c r="A15" s="72">
        <v>6</v>
      </c>
      <c r="B15" s="73" t="s">
        <v>68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4"/>
    </row>
    <row r="16" spans="1:16" s="1" customFormat="1" ht="42" customHeight="1">
      <c r="A16" s="14">
        <v>7</v>
      </c>
      <c r="B16" s="15" t="s">
        <v>61</v>
      </c>
      <c r="C16" s="32">
        <v>15</v>
      </c>
      <c r="D16" s="32">
        <v>15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15</v>
      </c>
      <c r="L16" s="32">
        <v>15</v>
      </c>
      <c r="M16" s="30">
        <f t="shared" si="2"/>
        <v>100</v>
      </c>
      <c r="N16" s="33">
        <v>100</v>
      </c>
      <c r="O16" s="33">
        <v>100</v>
      </c>
      <c r="P16" s="34">
        <v>100</v>
      </c>
    </row>
    <row r="17" spans="1:16" s="1" customFormat="1" ht="33.75" customHeight="1">
      <c r="A17" s="14">
        <v>8</v>
      </c>
      <c r="B17" s="15" t="s">
        <v>62</v>
      </c>
      <c r="C17" s="32">
        <v>20</v>
      </c>
      <c r="D17" s="32">
        <v>20</v>
      </c>
      <c r="E17" s="32" t="e">
        <f>#REF!</f>
        <v>#REF!</v>
      </c>
      <c r="F17" s="32" t="e">
        <f>#REF!</f>
        <v>#REF!</v>
      </c>
      <c r="G17" s="32" t="e">
        <f>#REF!</f>
        <v>#REF!</v>
      </c>
      <c r="H17" s="32" t="e">
        <f>#REF!</f>
        <v>#REF!</v>
      </c>
      <c r="I17" s="32" t="e">
        <f>#REF!</f>
        <v>#REF!</v>
      </c>
      <c r="J17" s="32" t="e">
        <f>#REF!</f>
        <v>#REF!</v>
      </c>
      <c r="K17" s="32">
        <v>20</v>
      </c>
      <c r="L17" s="32">
        <v>20</v>
      </c>
      <c r="M17" s="30">
        <f t="shared" si="2"/>
        <v>100</v>
      </c>
      <c r="N17" s="30">
        <f t="shared" si="0"/>
        <v>100</v>
      </c>
      <c r="O17" s="30" t="e">
        <f>ROUND((C17+E17)*100/K17,1)</f>
        <v>#REF!</v>
      </c>
      <c r="P17" s="31" t="e">
        <f t="shared" si="1"/>
        <v>#REF!</v>
      </c>
    </row>
    <row r="18" spans="1:16" s="1" customFormat="1" ht="21">
      <c r="A18" s="14">
        <v>9</v>
      </c>
      <c r="B18" s="15" t="s">
        <v>63</v>
      </c>
      <c r="C18" s="32">
        <v>27</v>
      </c>
      <c r="D18" s="32">
        <v>27</v>
      </c>
      <c r="E18" s="32" t="e">
        <f>#REF!</f>
        <v>#REF!</v>
      </c>
      <c r="F18" s="29">
        <v>0</v>
      </c>
      <c r="G18" s="32" t="e">
        <f>#REF!</f>
        <v>#REF!</v>
      </c>
      <c r="H18" s="32" t="e">
        <f>#REF!</f>
        <v>#REF!</v>
      </c>
      <c r="I18" s="32" t="e">
        <f>#REF!</f>
        <v>#REF!</v>
      </c>
      <c r="J18" s="32">
        <v>0</v>
      </c>
      <c r="K18" s="32">
        <v>27</v>
      </c>
      <c r="L18" s="32">
        <v>27</v>
      </c>
      <c r="M18" s="30">
        <f t="shared" si="2"/>
        <v>100</v>
      </c>
      <c r="N18" s="30">
        <f t="shared" si="0"/>
        <v>100</v>
      </c>
      <c r="O18" s="30" t="e">
        <f t="shared" ref="O18:O20" si="3">ROUND((C18+E18)*100/K18,1)</f>
        <v>#REF!</v>
      </c>
      <c r="P18" s="31">
        <f t="shared" ref="P18:P20" si="4">ROUND((D18+F18)*100/L18,1)</f>
        <v>100</v>
      </c>
    </row>
    <row r="19" spans="1:16" s="6" customFormat="1" ht="21">
      <c r="A19" s="65">
        <v>10</v>
      </c>
      <c r="B19" s="66" t="s">
        <v>64</v>
      </c>
      <c r="C19" s="70">
        <v>17</v>
      </c>
      <c r="D19" s="70">
        <v>17</v>
      </c>
      <c r="E19" s="32">
        <v>0</v>
      </c>
      <c r="F19" s="32" t="e">
        <f>#REF!</f>
        <v>#REF!</v>
      </c>
      <c r="G19" s="32">
        <v>0</v>
      </c>
      <c r="H19" s="32">
        <v>0</v>
      </c>
      <c r="I19" s="32">
        <v>0</v>
      </c>
      <c r="J19" s="32" t="e">
        <f>#REF!</f>
        <v>#REF!</v>
      </c>
      <c r="K19" s="70">
        <v>17</v>
      </c>
      <c r="L19" s="70">
        <v>17</v>
      </c>
      <c r="M19" s="30">
        <f t="shared" si="2"/>
        <v>100</v>
      </c>
      <c r="N19" s="30">
        <f t="shared" si="0"/>
        <v>100</v>
      </c>
      <c r="O19" s="30">
        <f t="shared" si="3"/>
        <v>100</v>
      </c>
      <c r="P19" s="31" t="e">
        <f t="shared" si="4"/>
        <v>#REF!</v>
      </c>
    </row>
    <row r="20" spans="1:16" s="1" customFormat="1" ht="21">
      <c r="A20" s="65">
        <v>11</v>
      </c>
      <c r="B20" s="66" t="s">
        <v>65</v>
      </c>
      <c r="C20" s="70">
        <v>18</v>
      </c>
      <c r="D20" s="70">
        <v>18</v>
      </c>
      <c r="E20" s="32" t="e">
        <f>#REF!</f>
        <v>#REF!</v>
      </c>
      <c r="F20" s="32">
        <v>0</v>
      </c>
      <c r="G20" s="32" t="e">
        <f>#REF!</f>
        <v>#REF!</v>
      </c>
      <c r="H20" s="32" t="e">
        <f>#REF!</f>
        <v>#REF!</v>
      </c>
      <c r="I20" s="32" t="e">
        <f>#REF!</f>
        <v>#REF!</v>
      </c>
      <c r="J20" s="32">
        <v>0</v>
      </c>
      <c r="K20" s="70">
        <v>18</v>
      </c>
      <c r="L20" s="70">
        <v>18</v>
      </c>
      <c r="M20" s="30">
        <f t="shared" si="2"/>
        <v>100</v>
      </c>
      <c r="N20" s="30">
        <f t="shared" si="0"/>
        <v>100</v>
      </c>
      <c r="O20" s="30" t="e">
        <f t="shared" si="3"/>
        <v>#REF!</v>
      </c>
      <c r="P20" s="31">
        <f t="shared" si="4"/>
        <v>100</v>
      </c>
    </row>
    <row r="21" spans="1:16" s="1" customFormat="1" ht="16.8">
      <c r="A21" s="35"/>
      <c r="B21" s="36" t="s">
        <v>8</v>
      </c>
      <c r="C21" s="37">
        <f t="shared" ref="C21" si="5">SUM(C10:C20)</f>
        <v>132</v>
      </c>
      <c r="D21" s="37">
        <f t="shared" ref="D21" si="6">SUM(D10:D20)</f>
        <v>132</v>
      </c>
      <c r="E21" s="37" t="e">
        <f t="shared" ref="E21" si="7">SUM(E10:E20)</f>
        <v>#REF!</v>
      </c>
      <c r="F21" s="37" t="e">
        <f t="shared" ref="F21" si="8">SUM(F10:F20)</f>
        <v>#REF!</v>
      </c>
      <c r="G21" s="37" t="e">
        <f t="shared" ref="G21" si="9">SUM(G10:G20)</f>
        <v>#REF!</v>
      </c>
      <c r="H21" s="37" t="e">
        <f t="shared" ref="H21" si="10">SUM(H10:H20)</f>
        <v>#REF!</v>
      </c>
      <c r="I21" s="37" t="e">
        <f t="shared" ref="I21" si="11">SUM(I10:I20)</f>
        <v>#REF!</v>
      </c>
      <c r="J21" s="37" t="e">
        <f t="shared" ref="J21" si="12">SUM(J10:J20)</f>
        <v>#REF!</v>
      </c>
      <c r="K21" s="37">
        <f t="shared" ref="K21" si="13">SUM(K10:K20)</f>
        <v>128</v>
      </c>
      <c r="L21" s="37">
        <f t="shared" ref="L21" si="14">SUM(L10:L20)</f>
        <v>128</v>
      </c>
      <c r="M21" s="37">
        <f t="shared" ref="M21" si="15">SUM(M10:M20)</f>
        <v>900</v>
      </c>
      <c r="N21" s="37">
        <f t="shared" ref="N21" si="16">SUM(N10:N20)</f>
        <v>900</v>
      </c>
      <c r="O21" s="37" t="e">
        <f t="shared" ref="O21" si="17">SUM(O10:O20)</f>
        <v>#REF!</v>
      </c>
      <c r="P21" s="37" t="e">
        <f t="shared" ref="P21" si="18">SUM(P10:P20)</f>
        <v>#REF!</v>
      </c>
    </row>
    <row r="22" spans="1:16" ht="17.399999999999999" thickBot="1">
      <c r="A22" s="38"/>
      <c r="B22" s="39"/>
      <c r="C22" s="40" t="s">
        <v>15</v>
      </c>
      <c r="D22" s="40" t="s">
        <v>29</v>
      </c>
      <c r="E22" s="41"/>
      <c r="F22" s="42"/>
      <c r="G22" s="42"/>
      <c r="H22" s="42"/>
      <c r="I22" s="42"/>
      <c r="J22" s="42"/>
      <c r="K22" s="43"/>
      <c r="L22" s="43"/>
      <c r="M22" s="44"/>
      <c r="N22" s="44"/>
      <c r="O22" s="44"/>
      <c r="P22" s="67"/>
    </row>
    <row r="23" spans="1:16" ht="17.399999999999999" thickBot="1">
      <c r="A23" s="45"/>
      <c r="B23" s="46" t="s">
        <v>30</v>
      </c>
      <c r="C23" s="47" t="e">
        <f>ROUND((C21+E21)*100/K21,1)</f>
        <v>#REF!</v>
      </c>
      <c r="D23" s="48" t="e">
        <f>ROUND((D21+F21)*100/L21,1)</f>
        <v>#REF!</v>
      </c>
      <c r="E23" s="45" t="s">
        <v>9</v>
      </c>
      <c r="F23" s="49"/>
      <c r="G23" s="50"/>
      <c r="H23" s="45"/>
      <c r="I23" s="45"/>
      <c r="J23" s="45"/>
      <c r="K23" s="50"/>
      <c r="L23" s="50"/>
      <c r="M23" s="51"/>
      <c r="N23" s="51"/>
      <c r="O23" s="51"/>
      <c r="P23" s="68"/>
    </row>
    <row r="24" spans="1:16" ht="16.8">
      <c r="A24" s="52"/>
      <c r="B24" s="53" t="s">
        <v>31</v>
      </c>
      <c r="C24" s="54">
        <f>ROUND(C21*100/K21,1)</f>
        <v>103.1</v>
      </c>
      <c r="D24" s="55">
        <f>ROUND(D21*100/L21,1)</f>
        <v>103.1</v>
      </c>
      <c r="E24" s="54" t="s">
        <v>9</v>
      </c>
      <c r="F24" s="56"/>
      <c r="G24" s="57"/>
      <c r="H24" s="52"/>
      <c r="I24" s="52"/>
      <c r="J24" s="52"/>
      <c r="K24" s="57"/>
      <c r="L24" s="57"/>
      <c r="M24" s="58"/>
      <c r="N24" s="58"/>
      <c r="O24" s="58"/>
      <c r="P24" s="69"/>
    </row>
  </sheetData>
  <mergeCells count="18"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  <mergeCell ref="B4:C4"/>
    <mergeCell ref="E4:G4"/>
    <mergeCell ref="H3:K3"/>
    <mergeCell ref="H4:K4"/>
    <mergeCell ref="A1:P1"/>
    <mergeCell ref="B3:C3"/>
    <mergeCell ref="E3:G3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zoomScale="73" zoomScaleNormal="70" workbookViewId="0">
      <selection sqref="A1:F5"/>
    </sheetView>
  </sheetViews>
  <sheetFormatPr defaultColWidth="9.109375" defaultRowHeight="16.8"/>
  <cols>
    <col min="1" max="1" width="23.44140625" style="11" customWidth="1"/>
    <col min="2" max="2" width="21.5546875" style="11" customWidth="1"/>
    <col min="3" max="3" width="20.5546875" style="11" customWidth="1"/>
    <col min="4" max="4" width="24" style="11" bestFit="1" customWidth="1"/>
    <col min="5" max="5" width="23" style="11" customWidth="1"/>
    <col min="6" max="6" width="39.21875" style="11" bestFit="1" customWidth="1"/>
    <col min="7" max="7" width="13.88671875" style="11" bestFit="1" customWidth="1"/>
    <col min="8" max="8" width="18.21875" style="11" bestFit="1" customWidth="1"/>
    <col min="9" max="9" width="19.5546875" style="11" bestFit="1" customWidth="1"/>
    <col min="10" max="10" width="13.88671875" style="11" bestFit="1" customWidth="1"/>
    <col min="11" max="11" width="18.21875" style="11" bestFit="1" customWidth="1"/>
    <col min="12" max="12" width="19.5546875" style="11" bestFit="1" customWidth="1"/>
    <col min="13" max="13" width="11.109375" style="11" customWidth="1"/>
    <col min="14" max="16384" width="9.109375" style="11"/>
  </cols>
  <sheetData>
    <row r="1" spans="1:13" s="92" customFormat="1" ht="15.75" customHeight="1">
      <c r="A1" s="86" t="s">
        <v>0</v>
      </c>
      <c r="B1" s="172" t="s">
        <v>91</v>
      </c>
      <c r="C1" s="172"/>
      <c r="D1" s="172"/>
      <c r="E1" s="172"/>
      <c r="F1" s="172"/>
      <c r="G1" s="90"/>
      <c r="H1" s="91"/>
      <c r="J1" s="90"/>
    </row>
    <row r="2" spans="1:13" s="92" customFormat="1">
      <c r="A2" s="86" t="s">
        <v>5</v>
      </c>
      <c r="B2" s="173" t="s">
        <v>42</v>
      </c>
      <c r="C2" s="173"/>
      <c r="D2" s="173"/>
      <c r="E2" s="173"/>
      <c r="F2" s="173"/>
      <c r="G2" s="90"/>
      <c r="H2" s="91"/>
      <c r="J2" s="90"/>
    </row>
    <row r="3" spans="1:13" s="92" customFormat="1" ht="16.5" customHeight="1">
      <c r="A3" s="87"/>
      <c r="B3" s="84" t="s">
        <v>23</v>
      </c>
      <c r="C3" s="84" t="s">
        <v>24</v>
      </c>
      <c r="D3" s="84" t="s">
        <v>33</v>
      </c>
      <c r="E3" s="84" t="s">
        <v>34</v>
      </c>
      <c r="F3" s="84" t="s">
        <v>35</v>
      </c>
      <c r="G3" s="90"/>
      <c r="H3" s="91"/>
      <c r="J3" s="90"/>
    </row>
    <row r="4" spans="1:13" s="92" customFormat="1">
      <c r="A4" s="88" t="s">
        <v>3</v>
      </c>
      <c r="B4" s="81">
        <v>10</v>
      </c>
      <c r="C4" s="81">
        <v>0</v>
      </c>
      <c r="D4" s="87">
        <f>COUNTIF(G11:G18,"Untested")</f>
        <v>0</v>
      </c>
      <c r="E4" s="89">
        <f>COUNTIF(G11:G18,"Blocked")</f>
        <v>0</v>
      </c>
      <c r="F4" s="87">
        <v>10</v>
      </c>
      <c r="G4" s="90"/>
      <c r="H4" s="91"/>
      <c r="J4" s="90"/>
    </row>
    <row r="5" spans="1:13" s="92" customFormat="1">
      <c r="A5" s="88" t="s">
        <v>4</v>
      </c>
      <c r="B5" s="81">
        <v>10</v>
      </c>
      <c r="C5" s="81">
        <v>0</v>
      </c>
      <c r="D5" s="87">
        <f>COUNTIF(J11:J18,"Untested")</f>
        <v>0</v>
      </c>
      <c r="E5" s="89">
        <f>COUNTIF(J11:J18,"Blocked")</f>
        <v>0</v>
      </c>
      <c r="F5" s="87">
        <v>10</v>
      </c>
      <c r="G5" s="90"/>
      <c r="H5" s="91"/>
      <c r="J5" s="90"/>
    </row>
    <row r="6" spans="1:13" s="92" customFormat="1" ht="409.5" customHeight="1">
      <c r="A6" s="93"/>
      <c r="B6" s="94"/>
      <c r="E6" s="95"/>
      <c r="G6" s="90"/>
      <c r="H6" s="91"/>
      <c r="J6" s="90"/>
    </row>
    <row r="7" spans="1:13" s="92" customFormat="1">
      <c r="A7" s="176" t="s">
        <v>6</v>
      </c>
      <c r="B7" s="176" t="s">
        <v>12</v>
      </c>
      <c r="C7" s="176" t="s">
        <v>50</v>
      </c>
      <c r="D7" s="176" t="s">
        <v>73</v>
      </c>
      <c r="E7" s="176" t="s">
        <v>44</v>
      </c>
      <c r="F7" s="176" t="s">
        <v>45</v>
      </c>
      <c r="G7" s="176" t="s">
        <v>36</v>
      </c>
      <c r="H7" s="176"/>
      <c r="I7" s="176"/>
      <c r="J7" s="176" t="s">
        <v>36</v>
      </c>
      <c r="K7" s="176"/>
      <c r="L7" s="176"/>
      <c r="M7" s="176" t="s">
        <v>37</v>
      </c>
    </row>
    <row r="8" spans="1:13" s="92" customFormat="1">
      <c r="A8" s="176"/>
      <c r="B8" s="176"/>
      <c r="C8" s="176"/>
      <c r="D8" s="176"/>
      <c r="E8" s="176"/>
      <c r="F8" s="176"/>
      <c r="G8" s="176" t="s">
        <v>15</v>
      </c>
      <c r="H8" s="176"/>
      <c r="I8" s="176"/>
      <c r="J8" s="176" t="s">
        <v>16</v>
      </c>
      <c r="K8" s="176"/>
      <c r="L8" s="176"/>
      <c r="M8" s="176"/>
    </row>
    <row r="9" spans="1:13" s="92" customFormat="1">
      <c r="A9" s="176"/>
      <c r="B9" s="176"/>
      <c r="C9" s="176"/>
      <c r="D9" s="176"/>
      <c r="E9" s="176"/>
      <c r="F9" s="176"/>
      <c r="G9" s="82" t="s">
        <v>38</v>
      </c>
      <c r="H9" s="83" t="s">
        <v>39</v>
      </c>
      <c r="I9" s="84" t="s">
        <v>40</v>
      </c>
      <c r="J9" s="82" t="s">
        <v>38</v>
      </c>
      <c r="K9" s="83" t="s">
        <v>39</v>
      </c>
      <c r="L9" s="84" t="s">
        <v>40</v>
      </c>
      <c r="M9" s="176"/>
    </row>
    <row r="10" spans="1:13" s="92" customFormat="1" ht="25.5" customHeight="1">
      <c r="A10" s="175" t="s">
        <v>66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</row>
    <row r="11" spans="1:13" s="92" customFormat="1" ht="86.25" customHeight="1">
      <c r="A11" s="195" t="s">
        <v>75</v>
      </c>
      <c r="B11" s="193" t="s">
        <v>96</v>
      </c>
      <c r="C11" s="85"/>
      <c r="D11" s="85"/>
      <c r="E11" s="194" t="s">
        <v>58</v>
      </c>
      <c r="F11" s="194" t="s">
        <v>58</v>
      </c>
      <c r="G11" s="190" t="s">
        <v>2</v>
      </c>
      <c r="H11" s="191" t="s">
        <v>97</v>
      </c>
      <c r="I11" s="192" t="s">
        <v>98</v>
      </c>
      <c r="J11" s="190" t="s">
        <v>2</v>
      </c>
      <c r="K11" s="191" t="s">
        <v>211</v>
      </c>
      <c r="L11" s="192" t="s">
        <v>98</v>
      </c>
      <c r="M11" s="85" t="s">
        <v>2</v>
      </c>
    </row>
    <row r="12" spans="1:13" s="92" customFormat="1" ht="78" customHeight="1">
      <c r="A12" s="195" t="s">
        <v>76</v>
      </c>
      <c r="B12" s="193" t="s">
        <v>41</v>
      </c>
      <c r="C12" s="85"/>
      <c r="D12" s="85"/>
      <c r="E12" s="194" t="s">
        <v>51</v>
      </c>
      <c r="F12" s="194" t="s">
        <v>51</v>
      </c>
      <c r="G12" s="190" t="s">
        <v>2</v>
      </c>
      <c r="H12" s="191" t="s">
        <v>97</v>
      </c>
      <c r="I12" s="192" t="s">
        <v>98</v>
      </c>
      <c r="J12" s="190" t="s">
        <v>2</v>
      </c>
      <c r="K12" s="191" t="s">
        <v>211</v>
      </c>
      <c r="L12" s="192" t="s">
        <v>98</v>
      </c>
      <c r="M12" s="85" t="s">
        <v>2</v>
      </c>
    </row>
    <row r="13" spans="1:13" s="92" customFormat="1" ht="55.5" customHeight="1">
      <c r="A13" s="195" t="s">
        <v>77</v>
      </c>
      <c r="B13" s="193" t="s">
        <v>67</v>
      </c>
      <c r="C13" s="85"/>
      <c r="D13" s="85"/>
      <c r="E13" s="194" t="s">
        <v>72</v>
      </c>
      <c r="F13" s="194" t="s">
        <v>72</v>
      </c>
      <c r="G13" s="190" t="s">
        <v>2</v>
      </c>
      <c r="H13" s="191" t="s">
        <v>97</v>
      </c>
      <c r="I13" s="192" t="s">
        <v>98</v>
      </c>
      <c r="J13" s="190" t="s">
        <v>2</v>
      </c>
      <c r="K13" s="191" t="s">
        <v>211</v>
      </c>
      <c r="L13" s="192" t="s">
        <v>98</v>
      </c>
      <c r="M13" s="85" t="s">
        <v>2</v>
      </c>
    </row>
    <row r="14" spans="1:13" s="92" customFormat="1" ht="39" customHeight="1">
      <c r="A14" s="174" t="s">
        <v>46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</row>
    <row r="15" spans="1:13" s="92" customFormat="1" ht="116.4" customHeight="1">
      <c r="A15" s="193" t="s">
        <v>78</v>
      </c>
      <c r="B15" s="193" t="s">
        <v>99</v>
      </c>
      <c r="C15" s="193" t="s">
        <v>100</v>
      </c>
      <c r="D15" s="85" t="s">
        <v>74</v>
      </c>
      <c r="E15" s="132" t="s">
        <v>101</v>
      </c>
      <c r="F15" s="132" t="s">
        <v>102</v>
      </c>
      <c r="G15" s="190" t="s">
        <v>2</v>
      </c>
      <c r="H15" s="191" t="s">
        <v>97</v>
      </c>
      <c r="I15" s="192" t="s">
        <v>98</v>
      </c>
      <c r="J15" s="190" t="s">
        <v>2</v>
      </c>
      <c r="K15" s="191" t="s">
        <v>211</v>
      </c>
      <c r="L15" s="192" t="s">
        <v>98</v>
      </c>
      <c r="M15" s="85" t="s">
        <v>2</v>
      </c>
    </row>
    <row r="16" spans="1:13" s="92" customFormat="1" ht="181.5" customHeight="1">
      <c r="A16" s="193" t="s">
        <v>79</v>
      </c>
      <c r="B16" s="193" t="s">
        <v>103</v>
      </c>
      <c r="C16" s="193" t="s">
        <v>104</v>
      </c>
      <c r="D16" s="85" t="s">
        <v>74</v>
      </c>
      <c r="E16" s="132" t="s">
        <v>105</v>
      </c>
      <c r="F16" s="132" t="s">
        <v>105</v>
      </c>
      <c r="G16" s="190" t="s">
        <v>2</v>
      </c>
      <c r="H16" s="191" t="s">
        <v>97</v>
      </c>
      <c r="I16" s="192" t="s">
        <v>98</v>
      </c>
      <c r="J16" s="190" t="s">
        <v>2</v>
      </c>
      <c r="K16" s="191" t="s">
        <v>211</v>
      </c>
      <c r="L16" s="192" t="s">
        <v>98</v>
      </c>
      <c r="M16" s="85" t="s">
        <v>2</v>
      </c>
    </row>
    <row r="17" spans="1:13" s="92" customFormat="1" ht="168.75" customHeight="1">
      <c r="A17" s="193" t="s">
        <v>80</v>
      </c>
      <c r="B17" s="193" t="s">
        <v>106</v>
      </c>
      <c r="C17" s="193" t="s">
        <v>107</v>
      </c>
      <c r="D17" s="85" t="s">
        <v>74</v>
      </c>
      <c r="E17" s="132" t="s">
        <v>108</v>
      </c>
      <c r="F17" s="132" t="s">
        <v>108</v>
      </c>
      <c r="G17" s="190" t="s">
        <v>2</v>
      </c>
      <c r="H17" s="191" t="s">
        <v>97</v>
      </c>
      <c r="I17" s="192" t="s">
        <v>98</v>
      </c>
      <c r="J17" s="190" t="s">
        <v>2</v>
      </c>
      <c r="K17" s="191" t="s">
        <v>211</v>
      </c>
      <c r="L17" s="192" t="s">
        <v>98</v>
      </c>
      <c r="M17" s="85" t="s">
        <v>2</v>
      </c>
    </row>
    <row r="18" spans="1:13" s="92" customFormat="1" ht="177.75" customHeight="1">
      <c r="A18" s="193" t="s">
        <v>81</v>
      </c>
      <c r="B18" s="193" t="s">
        <v>109</v>
      </c>
      <c r="C18" s="193" t="s">
        <v>110</v>
      </c>
      <c r="D18" s="85" t="s">
        <v>74</v>
      </c>
      <c r="E18" s="132" t="s">
        <v>111</v>
      </c>
      <c r="F18" s="132" t="s">
        <v>111</v>
      </c>
      <c r="G18" s="190" t="s">
        <v>2</v>
      </c>
      <c r="H18" s="191" t="s">
        <v>97</v>
      </c>
      <c r="I18" s="192" t="s">
        <v>98</v>
      </c>
      <c r="J18" s="190" t="s">
        <v>2</v>
      </c>
      <c r="K18" s="191" t="s">
        <v>211</v>
      </c>
      <c r="L18" s="192" t="s">
        <v>98</v>
      </c>
      <c r="M18" s="85" t="s">
        <v>2</v>
      </c>
    </row>
    <row r="19" spans="1:13" s="92" customFormat="1" ht="188.25" customHeight="1">
      <c r="A19" s="193" t="s">
        <v>82</v>
      </c>
      <c r="B19" s="193" t="s">
        <v>112</v>
      </c>
      <c r="C19" s="193" t="s">
        <v>113</v>
      </c>
      <c r="D19" s="85" t="s">
        <v>74</v>
      </c>
      <c r="E19" s="132" t="s">
        <v>114</v>
      </c>
      <c r="F19" s="132" t="s">
        <v>114</v>
      </c>
      <c r="G19" s="190" t="s">
        <v>2</v>
      </c>
      <c r="H19" s="191" t="s">
        <v>97</v>
      </c>
      <c r="I19" s="192" t="s">
        <v>98</v>
      </c>
      <c r="J19" s="190" t="s">
        <v>2</v>
      </c>
      <c r="K19" s="191" t="s">
        <v>211</v>
      </c>
      <c r="L19" s="192" t="s">
        <v>98</v>
      </c>
      <c r="M19" s="85" t="s">
        <v>2</v>
      </c>
    </row>
  </sheetData>
  <mergeCells count="15">
    <mergeCell ref="B1:F1"/>
    <mergeCell ref="B2:F2"/>
    <mergeCell ref="A14:M14"/>
    <mergeCell ref="A10:M10"/>
    <mergeCell ref="G7:I7"/>
    <mergeCell ref="J7:L7"/>
    <mergeCell ref="M7:M9"/>
    <mergeCell ref="G8:I8"/>
    <mergeCell ref="J8:L8"/>
    <mergeCell ref="A7:A9"/>
    <mergeCell ref="B7:B9"/>
    <mergeCell ref="C7:C9"/>
    <mergeCell ref="D7:D9"/>
    <mergeCell ref="E7:E9"/>
    <mergeCell ref="F7:F9"/>
  </mergeCells>
  <dataValidations count="1">
    <dataValidation type="list" operator="equal" allowBlank="1" showErrorMessage="1" promptTitle="dfdf" sqref="J11:J13 G11:G13 G15:G19 J15:J19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zoomScale="70" zoomScaleNormal="70" workbookViewId="0">
      <selection sqref="A1:F5"/>
    </sheetView>
  </sheetViews>
  <sheetFormatPr defaultColWidth="9.109375" defaultRowHeight="14.4"/>
  <cols>
    <col min="1" max="1" width="23.88671875" customWidth="1"/>
    <col min="2" max="2" width="15.21875" customWidth="1"/>
    <col min="3" max="3" width="19.77734375" customWidth="1"/>
    <col min="4" max="4" width="29.5546875" customWidth="1"/>
    <col min="5" max="5" width="28.88671875" customWidth="1"/>
    <col min="6" max="6" width="26.21875" customWidth="1"/>
    <col min="7" max="7" width="18.109375" customWidth="1"/>
    <col min="8" max="9" width="18.77734375" customWidth="1"/>
    <col min="10" max="10" width="18.44140625" customWidth="1"/>
    <col min="11" max="11" width="16.5546875" bestFit="1" customWidth="1"/>
    <col min="12" max="12" width="10.5546875" bestFit="1" customWidth="1"/>
  </cols>
  <sheetData>
    <row r="1" spans="1:6" ht="15.75" customHeight="1">
      <c r="A1" s="123" t="s">
        <v>0</v>
      </c>
      <c r="B1" s="177" t="s">
        <v>91</v>
      </c>
      <c r="C1" s="177"/>
      <c r="D1" s="177"/>
      <c r="E1" s="177"/>
      <c r="F1" s="177"/>
    </row>
    <row r="2" spans="1:6" ht="15.75" customHeight="1">
      <c r="A2" s="123" t="s">
        <v>5</v>
      </c>
      <c r="B2" s="178" t="s">
        <v>83</v>
      </c>
      <c r="C2" s="178"/>
      <c r="D2" s="178"/>
      <c r="E2" s="178"/>
      <c r="F2" s="178"/>
    </row>
    <row r="3" spans="1:6" ht="16.8">
      <c r="A3" s="96"/>
      <c r="B3" s="126" t="s">
        <v>23</v>
      </c>
      <c r="C3" s="126" t="s">
        <v>24</v>
      </c>
      <c r="D3" s="126" t="s">
        <v>33</v>
      </c>
      <c r="E3" s="127" t="s">
        <v>25</v>
      </c>
      <c r="F3" s="126" t="s">
        <v>47</v>
      </c>
    </row>
    <row r="4" spans="1:6" ht="16.8">
      <c r="A4" s="97" t="s">
        <v>3</v>
      </c>
      <c r="B4" s="96">
        <v>12</v>
      </c>
      <c r="C4" s="96">
        <v>0</v>
      </c>
      <c r="D4" s="96">
        <v>0</v>
      </c>
      <c r="E4" s="96">
        <v>0</v>
      </c>
      <c r="F4" s="96">
        <v>12</v>
      </c>
    </row>
    <row r="5" spans="1:6" ht="16.8">
      <c r="A5" s="97" t="s">
        <v>4</v>
      </c>
      <c r="B5" s="96">
        <v>12</v>
      </c>
      <c r="C5" s="96">
        <v>0</v>
      </c>
      <c r="D5" s="96">
        <v>0</v>
      </c>
      <c r="E5" s="98">
        <v>0</v>
      </c>
      <c r="F5" s="96">
        <v>12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2" hidden="1"/>
    <row r="18" spans="1:12" hidden="1"/>
    <row r="19" spans="1:12" hidden="1"/>
    <row r="20" spans="1:12" hidden="1"/>
    <row r="21" spans="1:12" hidden="1"/>
    <row r="22" spans="1:12" hidden="1"/>
    <row r="23" spans="1:12" hidden="1"/>
    <row r="24" spans="1:12" hidden="1"/>
    <row r="25" spans="1:12" hidden="1"/>
    <row r="26" spans="1:12" hidden="1"/>
    <row r="27" spans="1:12" hidden="1"/>
    <row r="28" spans="1:12" hidden="1"/>
    <row r="29" spans="1:12" hidden="1"/>
    <row r="30" spans="1:12" hidden="1"/>
    <row r="31" spans="1:12" ht="17.399999999999999">
      <c r="A31" s="179" t="s">
        <v>6</v>
      </c>
      <c r="B31" s="179" t="s">
        <v>12</v>
      </c>
      <c r="C31" s="179" t="s">
        <v>43</v>
      </c>
      <c r="D31" s="180" t="s">
        <v>44</v>
      </c>
      <c r="E31" s="179" t="s">
        <v>45</v>
      </c>
      <c r="F31" s="181" t="s">
        <v>36</v>
      </c>
      <c r="G31" s="181"/>
      <c r="H31" s="181"/>
      <c r="I31" s="181"/>
      <c r="J31" s="181"/>
      <c r="K31" s="181"/>
      <c r="L31" s="181" t="s">
        <v>37</v>
      </c>
    </row>
    <row r="32" spans="1:12" ht="17.399999999999999">
      <c r="A32" s="179"/>
      <c r="B32" s="179"/>
      <c r="C32" s="179"/>
      <c r="D32" s="180"/>
      <c r="E32" s="179"/>
      <c r="F32" s="181" t="s">
        <v>15</v>
      </c>
      <c r="G32" s="181"/>
      <c r="H32" s="181"/>
      <c r="I32" s="181" t="s">
        <v>16</v>
      </c>
      <c r="J32" s="181"/>
      <c r="K32" s="181"/>
      <c r="L32" s="181"/>
    </row>
    <row r="33" spans="1:13" ht="16.8">
      <c r="A33" s="179"/>
      <c r="B33" s="179"/>
      <c r="C33" s="179"/>
      <c r="D33" s="180"/>
      <c r="E33" s="179"/>
      <c r="F33" s="119" t="s">
        <v>38</v>
      </c>
      <c r="G33" s="120" t="s">
        <v>39</v>
      </c>
      <c r="H33" s="119" t="s">
        <v>40</v>
      </c>
      <c r="I33" s="119" t="s">
        <v>38</v>
      </c>
      <c r="J33" s="119" t="s">
        <v>39</v>
      </c>
      <c r="K33" s="119" t="s">
        <v>40</v>
      </c>
      <c r="L33" s="181"/>
    </row>
    <row r="34" spans="1:13" ht="17.25" customHeight="1">
      <c r="A34" s="182" t="s">
        <v>86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4"/>
    </row>
    <row r="35" spans="1:13" ht="67.2">
      <c r="A35" s="106" t="s">
        <v>52</v>
      </c>
      <c r="B35" s="106" t="s">
        <v>115</v>
      </c>
      <c r="C35" s="108"/>
      <c r="D35" s="107" t="s">
        <v>58</v>
      </c>
      <c r="E35" s="107" t="s">
        <v>58</v>
      </c>
      <c r="F35" s="100" t="s">
        <v>2</v>
      </c>
      <c r="G35" s="110" t="s">
        <v>97</v>
      </c>
      <c r="H35" s="100" t="s">
        <v>98</v>
      </c>
      <c r="I35" s="100" t="s">
        <v>2</v>
      </c>
      <c r="J35" s="110" t="s">
        <v>211</v>
      </c>
      <c r="K35" s="100" t="s">
        <v>98</v>
      </c>
      <c r="L35" s="85" t="s">
        <v>2</v>
      </c>
    </row>
    <row r="36" spans="1:13" ht="50.4">
      <c r="A36" s="106" t="s">
        <v>53</v>
      </c>
      <c r="B36" s="106" t="s">
        <v>116</v>
      </c>
      <c r="C36" s="108"/>
      <c r="D36" s="107" t="s">
        <v>51</v>
      </c>
      <c r="E36" s="107" t="s">
        <v>51</v>
      </c>
      <c r="F36" s="100" t="s">
        <v>2</v>
      </c>
      <c r="G36" s="110" t="s">
        <v>97</v>
      </c>
      <c r="H36" s="100" t="s">
        <v>98</v>
      </c>
      <c r="I36" s="100" t="s">
        <v>2</v>
      </c>
      <c r="J36" s="110" t="s">
        <v>211</v>
      </c>
      <c r="K36" s="100" t="s">
        <v>98</v>
      </c>
      <c r="L36" s="85" t="s">
        <v>2</v>
      </c>
    </row>
    <row r="37" spans="1:13" ht="33.6">
      <c r="A37" s="106" t="s">
        <v>54</v>
      </c>
      <c r="B37" s="106" t="s">
        <v>117</v>
      </c>
      <c r="C37" s="108"/>
      <c r="D37" s="107" t="s">
        <v>51</v>
      </c>
      <c r="E37" s="107" t="s">
        <v>51</v>
      </c>
      <c r="F37" s="100" t="s">
        <v>2</v>
      </c>
      <c r="G37" s="110" t="s">
        <v>97</v>
      </c>
      <c r="H37" s="100" t="s">
        <v>98</v>
      </c>
      <c r="I37" s="100" t="s">
        <v>2</v>
      </c>
      <c r="J37" s="110" t="s">
        <v>211</v>
      </c>
      <c r="K37" s="100" t="s">
        <v>98</v>
      </c>
      <c r="L37" s="85" t="s">
        <v>2</v>
      </c>
    </row>
    <row r="38" spans="1:13" ht="16.8">
      <c r="A38" s="142" t="s">
        <v>87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4"/>
      <c r="M38" s="78"/>
    </row>
    <row r="39" spans="1:13" ht="184.8">
      <c r="A39" s="107" t="s">
        <v>84</v>
      </c>
      <c r="B39" s="107" t="s">
        <v>118</v>
      </c>
      <c r="C39" s="107" t="s">
        <v>119</v>
      </c>
      <c r="D39" s="111" t="s">
        <v>120</v>
      </c>
      <c r="E39" s="111" t="s">
        <v>120</v>
      </c>
      <c r="F39" s="100" t="s">
        <v>2</v>
      </c>
      <c r="G39" s="110" t="s">
        <v>97</v>
      </c>
      <c r="H39" s="100" t="s">
        <v>98</v>
      </c>
      <c r="I39" s="100" t="s">
        <v>2</v>
      </c>
      <c r="J39" s="110" t="s">
        <v>211</v>
      </c>
      <c r="K39" s="100" t="s">
        <v>98</v>
      </c>
      <c r="L39" s="85" t="s">
        <v>2</v>
      </c>
    </row>
    <row r="40" spans="1:13" ht="134.4">
      <c r="A40" s="107" t="s">
        <v>85</v>
      </c>
      <c r="B40" s="107" t="s">
        <v>121</v>
      </c>
      <c r="C40" s="107" t="s">
        <v>122</v>
      </c>
      <c r="D40" s="111" t="s">
        <v>123</v>
      </c>
      <c r="E40" s="111" t="s">
        <v>123</v>
      </c>
      <c r="F40" s="100" t="s">
        <v>2</v>
      </c>
      <c r="G40" s="110" t="s">
        <v>97</v>
      </c>
      <c r="H40" s="100" t="s">
        <v>98</v>
      </c>
      <c r="I40" s="100" t="s">
        <v>2</v>
      </c>
      <c r="J40" s="110" t="s">
        <v>211</v>
      </c>
      <c r="K40" s="100" t="s">
        <v>98</v>
      </c>
      <c r="L40" s="85" t="s">
        <v>2</v>
      </c>
    </row>
    <row r="41" spans="1:13" ht="151.19999999999999">
      <c r="A41" s="107" t="s">
        <v>55</v>
      </c>
      <c r="B41" s="107" t="s">
        <v>124</v>
      </c>
      <c r="C41" s="107" t="s">
        <v>125</v>
      </c>
      <c r="D41" s="111" t="s">
        <v>126</v>
      </c>
      <c r="E41" s="111" t="s">
        <v>126</v>
      </c>
      <c r="F41" s="100" t="s">
        <v>2</v>
      </c>
      <c r="G41" s="110" t="s">
        <v>97</v>
      </c>
      <c r="H41" s="100" t="s">
        <v>98</v>
      </c>
      <c r="I41" s="100" t="s">
        <v>2</v>
      </c>
      <c r="J41" s="110" t="s">
        <v>211</v>
      </c>
      <c r="K41" s="100" t="s">
        <v>98</v>
      </c>
      <c r="L41" s="85" t="s">
        <v>2</v>
      </c>
    </row>
    <row r="42" spans="1:13" ht="100.8">
      <c r="A42" s="107" t="s">
        <v>56</v>
      </c>
      <c r="B42" s="111" t="s">
        <v>127</v>
      </c>
      <c r="C42" s="107" t="s">
        <v>128</v>
      </c>
      <c r="D42" s="111" t="s">
        <v>129</v>
      </c>
      <c r="E42" s="111" t="s">
        <v>130</v>
      </c>
      <c r="F42" s="100" t="s">
        <v>2</v>
      </c>
      <c r="G42" s="110" t="s">
        <v>97</v>
      </c>
      <c r="H42" s="100" t="s">
        <v>98</v>
      </c>
      <c r="I42" s="100" t="s">
        <v>2</v>
      </c>
      <c r="J42" s="110" t="s">
        <v>211</v>
      </c>
      <c r="K42" s="100" t="s">
        <v>98</v>
      </c>
      <c r="L42" s="85" t="s">
        <v>2</v>
      </c>
    </row>
    <row r="43" spans="1:13" ht="67.2">
      <c r="A43" s="107" t="s">
        <v>57</v>
      </c>
      <c r="B43" s="111" t="s">
        <v>136</v>
      </c>
      <c r="C43" s="107" t="s">
        <v>137</v>
      </c>
      <c r="D43" s="111" t="s">
        <v>138</v>
      </c>
      <c r="E43" s="111" t="s">
        <v>138</v>
      </c>
      <c r="F43" s="100" t="s">
        <v>2</v>
      </c>
      <c r="G43" s="110"/>
      <c r="H43" s="100" t="s">
        <v>98</v>
      </c>
      <c r="I43" s="100" t="s">
        <v>2</v>
      </c>
      <c r="J43" s="110" t="s">
        <v>211</v>
      </c>
      <c r="K43" s="100" t="s">
        <v>98</v>
      </c>
      <c r="L43" s="85" t="s">
        <v>2</v>
      </c>
    </row>
    <row r="44" spans="1:13" ht="155.25" customHeight="1">
      <c r="A44" s="107" t="s">
        <v>135</v>
      </c>
      <c r="B44" s="111" t="s">
        <v>131</v>
      </c>
      <c r="C44" s="107" t="s">
        <v>132</v>
      </c>
      <c r="D44" s="111" t="s">
        <v>133</v>
      </c>
      <c r="E44" s="111" t="s">
        <v>134</v>
      </c>
      <c r="F44" s="100" t="s">
        <v>2</v>
      </c>
      <c r="G44" s="110" t="s">
        <v>97</v>
      </c>
      <c r="H44" s="196" t="s">
        <v>98</v>
      </c>
      <c r="I44" s="100" t="s">
        <v>2</v>
      </c>
      <c r="J44" s="110" t="s">
        <v>211</v>
      </c>
      <c r="K44" s="100" t="s">
        <v>98</v>
      </c>
      <c r="L44" s="85" t="s">
        <v>2</v>
      </c>
    </row>
    <row r="45" spans="1:13" ht="16.8">
      <c r="H45" s="99"/>
    </row>
  </sheetData>
  <mergeCells count="13">
    <mergeCell ref="A38:L38"/>
    <mergeCell ref="B1:F1"/>
    <mergeCell ref="B2:F2"/>
    <mergeCell ref="A31:A33"/>
    <mergeCell ref="B31:B33"/>
    <mergeCell ref="C31:C33"/>
    <mergeCell ref="D31:D33"/>
    <mergeCell ref="E31:E33"/>
    <mergeCell ref="L31:L33"/>
    <mergeCell ref="F32:H32"/>
    <mergeCell ref="F31:K31"/>
    <mergeCell ref="I32:K32"/>
    <mergeCell ref="A34:L34"/>
  </mergeCells>
  <dataValidations count="1">
    <dataValidation type="list" operator="equal" allowBlank="1" showErrorMessage="1" promptTitle="dfdf" sqref="F39:F44 I39:I44 I35:I37 F35:F37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="70" zoomScaleNormal="70" workbookViewId="0">
      <selection sqref="A1:F5"/>
    </sheetView>
  </sheetViews>
  <sheetFormatPr defaultColWidth="9.109375" defaultRowHeight="13.8"/>
  <cols>
    <col min="1" max="1" width="19.109375" style="7" customWidth="1"/>
    <col min="2" max="2" width="21.5546875" style="7" customWidth="1"/>
    <col min="3" max="3" width="20.5546875" style="7" customWidth="1"/>
    <col min="4" max="4" width="43" style="7" bestFit="1" customWidth="1"/>
    <col min="5" max="5" width="27" style="7" bestFit="1" customWidth="1"/>
    <col min="6" max="6" width="39.21875" style="7" bestFit="1" customWidth="1"/>
    <col min="7" max="7" width="13.88671875" style="7" bestFit="1" customWidth="1"/>
    <col min="8" max="8" width="18.21875" style="7" bestFit="1" customWidth="1"/>
    <col min="9" max="9" width="19.5546875" style="7" bestFit="1" customWidth="1"/>
    <col min="10" max="10" width="13.88671875" style="7" bestFit="1" customWidth="1"/>
    <col min="11" max="11" width="18.21875" style="7" bestFit="1" customWidth="1"/>
    <col min="12" max="12" width="19.5546875" style="7" bestFit="1" customWidth="1"/>
    <col min="13" max="13" width="11.109375" style="7" customWidth="1"/>
    <col min="14" max="16384" width="9.109375" style="7"/>
  </cols>
  <sheetData>
    <row r="1" spans="1:13" s="10" customFormat="1" ht="15.75" customHeight="1">
      <c r="A1" s="123" t="s">
        <v>0</v>
      </c>
      <c r="B1" s="133" t="s">
        <v>91</v>
      </c>
      <c r="C1" s="133"/>
      <c r="D1" s="133"/>
      <c r="E1" s="133"/>
      <c r="F1" s="133"/>
      <c r="G1" s="8"/>
      <c r="H1" s="9"/>
      <c r="J1" s="8"/>
    </row>
    <row r="2" spans="1:13" s="10" customFormat="1" ht="15.75" customHeight="1">
      <c r="A2" s="123" t="s">
        <v>5</v>
      </c>
      <c r="B2" s="185" t="s">
        <v>89</v>
      </c>
      <c r="C2" s="185"/>
      <c r="D2" s="185"/>
      <c r="E2" s="185"/>
      <c r="F2" s="185"/>
      <c r="G2" s="8"/>
      <c r="H2" s="9"/>
      <c r="J2" s="8"/>
    </row>
    <row r="3" spans="1:13" s="61" customFormat="1" ht="15.75" customHeight="1">
      <c r="A3" s="101"/>
      <c r="B3" s="124" t="s">
        <v>23</v>
      </c>
      <c r="C3" s="124" t="s">
        <v>24</v>
      </c>
      <c r="D3" s="124" t="s">
        <v>33</v>
      </c>
      <c r="E3" s="125" t="s">
        <v>34</v>
      </c>
      <c r="F3" s="124" t="s">
        <v>35</v>
      </c>
      <c r="G3" s="59"/>
      <c r="H3" s="60"/>
      <c r="J3" s="59"/>
    </row>
    <row r="4" spans="1:13" s="61" customFormat="1" ht="18">
      <c r="A4" s="102" t="s">
        <v>3</v>
      </c>
      <c r="B4" s="103">
        <v>10</v>
      </c>
      <c r="C4" s="103">
        <v>0</v>
      </c>
      <c r="D4" s="101">
        <f>COUNTIF(G11:G18,"Untested")</f>
        <v>0</v>
      </c>
      <c r="E4" s="104">
        <f>COUNTIF(G11:G18,"Blocked")</f>
        <v>0</v>
      </c>
      <c r="F4" s="101">
        <f>B4</f>
        <v>10</v>
      </c>
      <c r="G4" s="59"/>
      <c r="H4" s="60"/>
      <c r="J4" s="59"/>
    </row>
    <row r="5" spans="1:13" s="61" customFormat="1" ht="18">
      <c r="A5" s="102" t="s">
        <v>4</v>
      </c>
      <c r="B5" s="103">
        <v>10</v>
      </c>
      <c r="C5" s="103">
        <v>0</v>
      </c>
      <c r="D5" s="101">
        <f>COUNTIF(J11:J18,"Untested")</f>
        <v>0</v>
      </c>
      <c r="E5" s="104">
        <f>COUNTIF(J11:J18,"Blocked")</f>
        <v>0</v>
      </c>
      <c r="F5" s="101">
        <v>10</v>
      </c>
      <c r="G5" s="59"/>
      <c r="H5" s="60"/>
      <c r="J5" s="59"/>
    </row>
    <row r="6" spans="1:13" s="61" customFormat="1" ht="343.5" customHeight="1">
      <c r="A6" s="62"/>
      <c r="B6" s="63"/>
      <c r="E6" s="64"/>
      <c r="G6" s="59"/>
      <c r="H6" s="60"/>
      <c r="J6" s="59"/>
    </row>
    <row r="7" spans="1:13" s="61" customFormat="1" ht="18">
      <c r="A7" s="186" t="s">
        <v>6</v>
      </c>
      <c r="B7" s="186" t="s">
        <v>12</v>
      </c>
      <c r="C7" s="186" t="s">
        <v>43</v>
      </c>
      <c r="D7" s="186" t="s">
        <v>73</v>
      </c>
      <c r="E7" s="187" t="s">
        <v>44</v>
      </c>
      <c r="F7" s="186" t="s">
        <v>45</v>
      </c>
      <c r="G7" s="186" t="s">
        <v>36</v>
      </c>
      <c r="H7" s="186"/>
      <c r="I7" s="186"/>
      <c r="J7" s="186" t="s">
        <v>36</v>
      </c>
      <c r="K7" s="186"/>
      <c r="L7" s="186"/>
      <c r="M7" s="186" t="s">
        <v>37</v>
      </c>
    </row>
    <row r="8" spans="1:13" s="61" customFormat="1" ht="18">
      <c r="A8" s="186"/>
      <c r="B8" s="186"/>
      <c r="C8" s="186"/>
      <c r="D8" s="186"/>
      <c r="E8" s="187"/>
      <c r="F8" s="186"/>
      <c r="G8" s="186" t="s">
        <v>15</v>
      </c>
      <c r="H8" s="186"/>
      <c r="I8" s="186"/>
      <c r="J8" s="186" t="s">
        <v>16</v>
      </c>
      <c r="K8" s="186"/>
      <c r="L8" s="186"/>
      <c r="M8" s="186"/>
    </row>
    <row r="9" spans="1:13" s="61" customFormat="1" ht="18">
      <c r="A9" s="186"/>
      <c r="B9" s="186"/>
      <c r="C9" s="186"/>
      <c r="D9" s="186"/>
      <c r="E9" s="187"/>
      <c r="F9" s="186"/>
      <c r="G9" s="121" t="s">
        <v>38</v>
      </c>
      <c r="H9" s="122" t="s">
        <v>39</v>
      </c>
      <c r="I9" s="121" t="s">
        <v>40</v>
      </c>
      <c r="J9" s="121" t="s">
        <v>38</v>
      </c>
      <c r="K9" s="122" t="s">
        <v>39</v>
      </c>
      <c r="L9" s="121" t="s">
        <v>40</v>
      </c>
      <c r="M9" s="186"/>
    </row>
    <row r="10" spans="1:13" s="61" customFormat="1" ht="25.5" customHeight="1">
      <c r="A10" s="188" t="s">
        <v>146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</row>
    <row r="11" spans="1:13" s="61" customFormat="1" ht="86.25" customHeight="1">
      <c r="A11" s="106" t="s">
        <v>175</v>
      </c>
      <c r="B11" s="107" t="s">
        <v>139</v>
      </c>
      <c r="C11" s="108"/>
      <c r="D11" s="109" t="s">
        <v>88</v>
      </c>
      <c r="E11" s="107" t="s">
        <v>140</v>
      </c>
      <c r="F11" s="107" t="s">
        <v>141</v>
      </c>
      <c r="G11" s="100" t="s">
        <v>2</v>
      </c>
      <c r="H11" s="110" t="s">
        <v>97</v>
      </c>
      <c r="I11" s="100" t="s">
        <v>98</v>
      </c>
      <c r="J11" s="100" t="s">
        <v>2</v>
      </c>
      <c r="K11" s="110" t="s">
        <v>211</v>
      </c>
      <c r="L11" s="100" t="s">
        <v>98</v>
      </c>
      <c r="M11" s="85" t="s">
        <v>2</v>
      </c>
    </row>
    <row r="12" spans="1:13" s="61" customFormat="1" ht="78" customHeight="1">
      <c r="A12" s="106" t="s">
        <v>176</v>
      </c>
      <c r="B12" s="107" t="s">
        <v>142</v>
      </c>
      <c r="C12" s="108"/>
      <c r="D12" s="109" t="s">
        <v>88</v>
      </c>
      <c r="E12" s="107" t="s">
        <v>143</v>
      </c>
      <c r="F12" s="107" t="s">
        <v>143</v>
      </c>
      <c r="G12" s="100" t="s">
        <v>2</v>
      </c>
      <c r="H12" s="110" t="s">
        <v>97</v>
      </c>
      <c r="I12" s="100" t="s">
        <v>98</v>
      </c>
      <c r="J12" s="100" t="s">
        <v>2</v>
      </c>
      <c r="K12" s="110" t="s">
        <v>211</v>
      </c>
      <c r="L12" s="100" t="s">
        <v>98</v>
      </c>
      <c r="M12" s="85" t="s">
        <v>2</v>
      </c>
    </row>
    <row r="13" spans="1:13" s="61" customFormat="1" ht="55.5" customHeight="1">
      <c r="A13" s="106" t="s">
        <v>177</v>
      </c>
      <c r="B13" s="107" t="s">
        <v>144</v>
      </c>
      <c r="C13" s="108"/>
      <c r="D13" s="109" t="s">
        <v>88</v>
      </c>
      <c r="E13" s="107" t="s">
        <v>145</v>
      </c>
      <c r="F13" s="107" t="s">
        <v>145</v>
      </c>
      <c r="G13" s="100" t="s">
        <v>2</v>
      </c>
      <c r="H13" s="110" t="s">
        <v>97</v>
      </c>
      <c r="I13" s="100" t="s">
        <v>98</v>
      </c>
      <c r="J13" s="100" t="s">
        <v>2</v>
      </c>
      <c r="K13" s="110" t="s">
        <v>211</v>
      </c>
      <c r="L13" s="100" t="s">
        <v>98</v>
      </c>
      <c r="M13" s="85" t="s">
        <v>2</v>
      </c>
    </row>
    <row r="14" spans="1:13" s="61" customFormat="1" ht="39" customHeight="1">
      <c r="A14" s="189" t="s">
        <v>147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</row>
    <row r="15" spans="1:13" s="61" customFormat="1" ht="93.75" customHeight="1">
      <c r="A15" s="107" t="s">
        <v>178</v>
      </c>
      <c r="B15" s="107" t="s">
        <v>148</v>
      </c>
      <c r="C15" s="107" t="s">
        <v>153</v>
      </c>
      <c r="D15" s="109" t="s">
        <v>88</v>
      </c>
      <c r="E15" s="111" t="s">
        <v>158</v>
      </c>
      <c r="F15" s="111" t="s">
        <v>159</v>
      </c>
      <c r="G15" s="100" t="s">
        <v>2</v>
      </c>
      <c r="H15" s="110" t="s">
        <v>97</v>
      </c>
      <c r="I15" s="100" t="s">
        <v>98</v>
      </c>
      <c r="J15" s="100" t="s">
        <v>2</v>
      </c>
      <c r="K15" s="110" t="s">
        <v>211</v>
      </c>
      <c r="L15" s="100" t="s">
        <v>98</v>
      </c>
      <c r="M15" s="85" t="s">
        <v>2</v>
      </c>
    </row>
    <row r="16" spans="1:13" s="61" customFormat="1" ht="181.5" customHeight="1">
      <c r="A16" s="107" t="s">
        <v>179</v>
      </c>
      <c r="B16" s="107" t="s">
        <v>149</v>
      </c>
      <c r="C16" s="107" t="s">
        <v>154</v>
      </c>
      <c r="D16" s="109" t="s">
        <v>88</v>
      </c>
      <c r="E16" s="111" t="s">
        <v>160</v>
      </c>
      <c r="F16" s="111" t="s">
        <v>161</v>
      </c>
      <c r="G16" s="100" t="s">
        <v>2</v>
      </c>
      <c r="H16" s="110" t="s">
        <v>97</v>
      </c>
      <c r="I16" s="100" t="s">
        <v>98</v>
      </c>
      <c r="J16" s="100" t="s">
        <v>2</v>
      </c>
      <c r="K16" s="110" t="s">
        <v>211</v>
      </c>
      <c r="L16" s="100" t="s">
        <v>98</v>
      </c>
      <c r="M16" s="85" t="s">
        <v>2</v>
      </c>
    </row>
    <row r="17" spans="1:13" s="61" customFormat="1" ht="168.75" customHeight="1">
      <c r="A17" s="107" t="s">
        <v>180</v>
      </c>
      <c r="B17" s="107" t="s">
        <v>150</v>
      </c>
      <c r="C17" s="107" t="s">
        <v>155</v>
      </c>
      <c r="D17" s="109" t="s">
        <v>88</v>
      </c>
      <c r="E17" s="111" t="s">
        <v>162</v>
      </c>
      <c r="F17" s="111" t="s">
        <v>163</v>
      </c>
      <c r="G17" s="100" t="s">
        <v>2</v>
      </c>
      <c r="H17" s="110" t="s">
        <v>97</v>
      </c>
      <c r="I17" s="100" t="s">
        <v>98</v>
      </c>
      <c r="J17" s="100" t="s">
        <v>2</v>
      </c>
      <c r="K17" s="110" t="s">
        <v>211</v>
      </c>
      <c r="L17" s="100" t="s">
        <v>98</v>
      </c>
      <c r="M17" s="85" t="s">
        <v>2</v>
      </c>
    </row>
    <row r="18" spans="1:13" s="61" customFormat="1" ht="177.75" customHeight="1">
      <c r="A18" s="107" t="s">
        <v>181</v>
      </c>
      <c r="B18" s="107" t="s">
        <v>151</v>
      </c>
      <c r="C18" s="107" t="s">
        <v>156</v>
      </c>
      <c r="D18" s="109" t="s">
        <v>88</v>
      </c>
      <c r="E18" s="111" t="s">
        <v>164</v>
      </c>
      <c r="F18" s="111" t="s">
        <v>165</v>
      </c>
      <c r="G18" s="100" t="s">
        <v>2</v>
      </c>
      <c r="H18" s="110" t="s">
        <v>97</v>
      </c>
      <c r="I18" s="100" t="s">
        <v>98</v>
      </c>
      <c r="J18" s="100" t="s">
        <v>2</v>
      </c>
      <c r="K18" s="110" t="s">
        <v>211</v>
      </c>
      <c r="L18" s="100" t="s">
        <v>98</v>
      </c>
      <c r="M18" s="85" t="s">
        <v>2</v>
      </c>
    </row>
    <row r="19" spans="1:13" s="61" customFormat="1" ht="188.25" customHeight="1">
      <c r="A19" s="107" t="s">
        <v>182</v>
      </c>
      <c r="B19" s="107" t="s">
        <v>152</v>
      </c>
      <c r="C19" s="107" t="s">
        <v>157</v>
      </c>
      <c r="D19" s="109" t="s">
        <v>88</v>
      </c>
      <c r="E19" s="111" t="s">
        <v>166</v>
      </c>
      <c r="F19" s="111" t="s">
        <v>166</v>
      </c>
      <c r="G19" s="100" t="s">
        <v>2</v>
      </c>
      <c r="H19" s="110" t="s">
        <v>97</v>
      </c>
      <c r="I19" s="100" t="s">
        <v>98</v>
      </c>
      <c r="J19" s="100" t="s">
        <v>2</v>
      </c>
      <c r="K19" s="110" t="s">
        <v>211</v>
      </c>
      <c r="L19" s="100" t="s">
        <v>98</v>
      </c>
      <c r="M19" s="85" t="s">
        <v>2</v>
      </c>
    </row>
  </sheetData>
  <mergeCells count="15">
    <mergeCell ref="A10:M10"/>
    <mergeCell ref="A14:M14"/>
    <mergeCell ref="G7:I7"/>
    <mergeCell ref="J7:L7"/>
    <mergeCell ref="M7:M9"/>
    <mergeCell ref="G8:I8"/>
    <mergeCell ref="J8:L8"/>
    <mergeCell ref="B1:F1"/>
    <mergeCell ref="B2:F2"/>
    <mergeCell ref="A7:A9"/>
    <mergeCell ref="B7:B9"/>
    <mergeCell ref="D7:D9"/>
    <mergeCell ref="C7:C9"/>
    <mergeCell ref="E7:E9"/>
    <mergeCell ref="F7:F9"/>
  </mergeCells>
  <dataValidations count="1">
    <dataValidation type="list" operator="equal" allowBlank="1" showErrorMessage="1" promptTitle="dfdf" sqref="J11:J13 G11:G13 G15:G19 J15:J19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tabSelected="1" zoomScale="80" zoomScaleNormal="80" workbookViewId="0">
      <selection sqref="A1:F5"/>
    </sheetView>
  </sheetViews>
  <sheetFormatPr defaultColWidth="9.109375" defaultRowHeight="14.4"/>
  <cols>
    <col min="1" max="1" width="23.88671875" customWidth="1"/>
    <col min="2" max="2" width="15.21875" customWidth="1"/>
    <col min="3" max="3" width="19.77734375" customWidth="1"/>
    <col min="4" max="4" width="21.21875" bestFit="1" customWidth="1"/>
    <col min="5" max="5" width="29.5546875" customWidth="1"/>
    <col min="6" max="6" width="28.88671875" customWidth="1"/>
    <col min="7" max="7" width="26.21875" customWidth="1"/>
    <col min="8" max="8" width="18.109375" customWidth="1"/>
    <col min="9" max="9" width="18.77734375" customWidth="1"/>
    <col min="10" max="10" width="11.5546875" bestFit="1" customWidth="1"/>
    <col min="11" max="11" width="15.21875" bestFit="1" customWidth="1"/>
    <col min="12" max="12" width="16.5546875" bestFit="1" customWidth="1"/>
    <col min="13" max="13" width="12.109375" bestFit="1" customWidth="1"/>
  </cols>
  <sheetData>
    <row r="1" spans="1:7" ht="15.75" customHeight="1">
      <c r="A1" s="130" t="s">
        <v>0</v>
      </c>
      <c r="B1" s="133" t="s">
        <v>91</v>
      </c>
      <c r="C1" s="133"/>
      <c r="D1" s="133"/>
      <c r="E1" s="133"/>
      <c r="F1" s="133"/>
      <c r="G1" s="79"/>
    </row>
    <row r="2" spans="1:7" ht="15.75" customHeight="1">
      <c r="A2" s="130" t="s">
        <v>5</v>
      </c>
      <c r="B2" s="134" t="s">
        <v>90</v>
      </c>
      <c r="C2" s="134"/>
      <c r="D2" s="134"/>
      <c r="E2" s="134"/>
      <c r="F2" s="134"/>
      <c r="G2" s="80"/>
    </row>
    <row r="3" spans="1:7" ht="15.75" customHeight="1">
      <c r="A3" s="108"/>
      <c r="B3" s="126" t="s">
        <v>23</v>
      </c>
      <c r="C3" s="126" t="s">
        <v>24</v>
      </c>
      <c r="D3" s="126" t="s">
        <v>33</v>
      </c>
      <c r="E3" s="127" t="s">
        <v>25</v>
      </c>
      <c r="F3" s="126" t="s">
        <v>47</v>
      </c>
    </row>
    <row r="4" spans="1:7" ht="15.75" customHeight="1">
      <c r="A4" s="112" t="s">
        <v>3</v>
      </c>
      <c r="B4" s="108">
        <v>10</v>
      </c>
      <c r="C4" s="108">
        <v>0</v>
      </c>
      <c r="D4" s="108">
        <v>0</v>
      </c>
      <c r="E4" s="108">
        <v>0</v>
      </c>
      <c r="F4" s="108">
        <f>B4</f>
        <v>10</v>
      </c>
    </row>
    <row r="5" spans="1:7" ht="15.75" customHeight="1">
      <c r="A5" s="112" t="s">
        <v>4</v>
      </c>
      <c r="B5" s="108">
        <v>10</v>
      </c>
      <c r="C5" s="108">
        <v>0</v>
      </c>
      <c r="D5" s="108">
        <v>0</v>
      </c>
      <c r="E5" s="108">
        <v>0</v>
      </c>
      <c r="F5" s="108">
        <f>B5</f>
        <v>10</v>
      </c>
    </row>
    <row r="31" spans="1:13" ht="17.399999999999999">
      <c r="A31" s="138" t="s">
        <v>6</v>
      </c>
      <c r="B31" s="138" t="s">
        <v>12</v>
      </c>
      <c r="C31" s="138" t="s">
        <v>43</v>
      </c>
      <c r="D31" s="138" t="s">
        <v>73</v>
      </c>
      <c r="E31" s="145" t="s">
        <v>44</v>
      </c>
      <c r="F31" s="138" t="s">
        <v>45</v>
      </c>
      <c r="G31" s="135" t="s">
        <v>36</v>
      </c>
      <c r="H31" s="135"/>
      <c r="I31" s="135"/>
      <c r="J31" s="135"/>
      <c r="K31" s="135"/>
      <c r="L31" s="135"/>
      <c r="M31" s="136" t="s">
        <v>37</v>
      </c>
    </row>
    <row r="32" spans="1:13" ht="17.399999999999999">
      <c r="A32" s="138"/>
      <c r="B32" s="138"/>
      <c r="C32" s="138"/>
      <c r="D32" s="138"/>
      <c r="E32" s="145"/>
      <c r="F32" s="138"/>
      <c r="G32" s="135" t="s">
        <v>15</v>
      </c>
      <c r="H32" s="135"/>
      <c r="I32" s="135"/>
      <c r="J32" s="135" t="s">
        <v>16</v>
      </c>
      <c r="K32" s="135"/>
      <c r="L32" s="135"/>
      <c r="M32" s="137"/>
    </row>
    <row r="33" spans="1:14" ht="15.6">
      <c r="A33" s="138"/>
      <c r="B33" s="138"/>
      <c r="C33" s="138"/>
      <c r="D33" s="138"/>
      <c r="E33" s="145"/>
      <c r="F33" s="138"/>
      <c r="G33" s="128" t="s">
        <v>38</v>
      </c>
      <c r="H33" s="129" t="s">
        <v>39</v>
      </c>
      <c r="I33" s="128" t="s">
        <v>40</v>
      </c>
      <c r="J33" s="128" t="s">
        <v>38</v>
      </c>
      <c r="K33" s="128" t="s">
        <v>39</v>
      </c>
      <c r="L33" s="128" t="s">
        <v>40</v>
      </c>
      <c r="M33" s="137"/>
    </row>
    <row r="34" spans="1:14" ht="15.6">
      <c r="A34" s="139" t="s">
        <v>167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1"/>
    </row>
    <row r="35" spans="1:14" ht="67.2">
      <c r="A35" s="106" t="s">
        <v>184</v>
      </c>
      <c r="B35" s="106" t="s">
        <v>168</v>
      </c>
      <c r="C35" s="108"/>
      <c r="D35" s="108"/>
      <c r="E35" s="107" t="s">
        <v>171</v>
      </c>
      <c r="F35" s="107" t="s">
        <v>171</v>
      </c>
      <c r="G35" s="100" t="s">
        <v>2</v>
      </c>
      <c r="H35" s="110" t="s">
        <v>97</v>
      </c>
      <c r="I35" s="100" t="s">
        <v>98</v>
      </c>
      <c r="J35" s="100" t="s">
        <v>2</v>
      </c>
      <c r="K35" s="110" t="s">
        <v>211</v>
      </c>
      <c r="L35" s="100" t="s">
        <v>98</v>
      </c>
      <c r="M35" s="85" t="s">
        <v>2</v>
      </c>
    </row>
    <row r="36" spans="1:14" ht="50.4">
      <c r="A36" s="106" t="s">
        <v>185</v>
      </c>
      <c r="B36" s="106" t="s">
        <v>169</v>
      </c>
      <c r="C36" s="108"/>
      <c r="D36" s="108"/>
      <c r="E36" s="107" t="s">
        <v>172</v>
      </c>
      <c r="F36" s="107" t="s">
        <v>173</v>
      </c>
      <c r="G36" s="100" t="s">
        <v>2</v>
      </c>
      <c r="H36" s="110" t="s">
        <v>97</v>
      </c>
      <c r="I36" s="100" t="s">
        <v>98</v>
      </c>
      <c r="J36" s="100" t="s">
        <v>2</v>
      </c>
      <c r="K36" s="110" t="s">
        <v>211</v>
      </c>
      <c r="L36" s="100" t="s">
        <v>98</v>
      </c>
      <c r="M36" s="85" t="s">
        <v>2</v>
      </c>
    </row>
    <row r="37" spans="1:14" ht="50.4">
      <c r="A37" s="106" t="s">
        <v>186</v>
      </c>
      <c r="B37" s="106" t="s">
        <v>170</v>
      </c>
      <c r="C37" s="108"/>
      <c r="D37" s="108"/>
      <c r="E37" s="107" t="s">
        <v>145</v>
      </c>
      <c r="F37" s="107" t="s">
        <v>145</v>
      </c>
      <c r="G37" s="100" t="s">
        <v>2</v>
      </c>
      <c r="H37" s="110" t="s">
        <v>97</v>
      </c>
      <c r="I37" s="100" t="s">
        <v>98</v>
      </c>
      <c r="J37" s="100" t="s">
        <v>2</v>
      </c>
      <c r="K37" s="110" t="s">
        <v>211</v>
      </c>
      <c r="L37" s="100" t="s">
        <v>98</v>
      </c>
      <c r="M37" s="85" t="s">
        <v>2</v>
      </c>
    </row>
    <row r="38" spans="1:14" ht="16.8">
      <c r="A38" s="142" t="s">
        <v>174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4"/>
      <c r="N38" s="77"/>
    </row>
    <row r="39" spans="1:14" ht="127.5" customHeight="1">
      <c r="A39" s="107" t="s">
        <v>183</v>
      </c>
      <c r="B39" s="107" t="s">
        <v>191</v>
      </c>
      <c r="C39" s="107" t="s">
        <v>196</v>
      </c>
      <c r="D39" s="107"/>
      <c r="E39" s="111" t="s">
        <v>201</v>
      </c>
      <c r="F39" s="111" t="s">
        <v>202</v>
      </c>
      <c r="G39" s="100" t="s">
        <v>2</v>
      </c>
      <c r="H39" s="110" t="s">
        <v>97</v>
      </c>
      <c r="I39" s="100" t="s">
        <v>98</v>
      </c>
      <c r="J39" s="100" t="s">
        <v>2</v>
      </c>
      <c r="K39" s="110" t="s">
        <v>211</v>
      </c>
      <c r="L39" s="100" t="s">
        <v>98</v>
      </c>
      <c r="M39" s="85" t="s">
        <v>2</v>
      </c>
    </row>
    <row r="40" spans="1:14" ht="134.4">
      <c r="A40" s="107" t="s">
        <v>187</v>
      </c>
      <c r="B40" s="107" t="s">
        <v>192</v>
      </c>
      <c r="C40" s="107" t="s">
        <v>197</v>
      </c>
      <c r="D40" s="107"/>
      <c r="E40" s="111" t="s">
        <v>203</v>
      </c>
      <c r="F40" s="111" t="s">
        <v>204</v>
      </c>
      <c r="G40" s="100" t="s">
        <v>2</v>
      </c>
      <c r="H40" s="110" t="s">
        <v>97</v>
      </c>
      <c r="I40" s="100" t="s">
        <v>98</v>
      </c>
      <c r="J40" s="100" t="s">
        <v>2</v>
      </c>
      <c r="K40" s="110" t="s">
        <v>211</v>
      </c>
      <c r="L40" s="100" t="s">
        <v>98</v>
      </c>
      <c r="M40" s="85" t="s">
        <v>2</v>
      </c>
    </row>
    <row r="41" spans="1:14" ht="117.6">
      <c r="A41" s="107" t="s">
        <v>188</v>
      </c>
      <c r="B41" s="107" t="s">
        <v>193</v>
      </c>
      <c r="C41" s="107" t="s">
        <v>198</v>
      </c>
      <c r="D41" s="107"/>
      <c r="E41" s="111" t="s">
        <v>205</v>
      </c>
      <c r="F41" s="111" t="s">
        <v>206</v>
      </c>
      <c r="G41" s="100" t="s">
        <v>2</v>
      </c>
      <c r="H41" s="110" t="s">
        <v>97</v>
      </c>
      <c r="I41" s="100" t="s">
        <v>98</v>
      </c>
      <c r="J41" s="100" t="s">
        <v>2</v>
      </c>
      <c r="K41" s="110" t="s">
        <v>211</v>
      </c>
      <c r="L41" s="100" t="s">
        <v>98</v>
      </c>
      <c r="M41" s="85" t="s">
        <v>2</v>
      </c>
    </row>
    <row r="42" spans="1:14" ht="117.6">
      <c r="A42" s="107" t="s">
        <v>189</v>
      </c>
      <c r="B42" s="111" t="s">
        <v>194</v>
      </c>
      <c r="C42" s="107" t="s">
        <v>199</v>
      </c>
      <c r="D42" s="111"/>
      <c r="E42" s="111" t="s">
        <v>207</v>
      </c>
      <c r="F42" s="111" t="s">
        <v>208</v>
      </c>
      <c r="G42" s="100" t="s">
        <v>2</v>
      </c>
      <c r="H42" s="110" t="s">
        <v>97</v>
      </c>
      <c r="I42" s="100" t="s">
        <v>98</v>
      </c>
      <c r="J42" s="100" t="s">
        <v>2</v>
      </c>
      <c r="K42" s="110" t="s">
        <v>211</v>
      </c>
      <c r="L42" s="100" t="s">
        <v>98</v>
      </c>
      <c r="M42" s="85" t="s">
        <v>2</v>
      </c>
    </row>
    <row r="43" spans="1:14" ht="84">
      <c r="A43" s="107" t="s">
        <v>190</v>
      </c>
      <c r="B43" s="111" t="s">
        <v>195</v>
      </c>
      <c r="C43" s="107" t="s">
        <v>200</v>
      </c>
      <c r="D43" s="111"/>
      <c r="E43" s="111" t="s">
        <v>209</v>
      </c>
      <c r="F43" s="111" t="s">
        <v>210</v>
      </c>
      <c r="G43" s="100" t="s">
        <v>2</v>
      </c>
      <c r="H43" s="110" t="s">
        <v>97</v>
      </c>
      <c r="I43" s="100" t="s">
        <v>98</v>
      </c>
      <c r="J43" s="100" t="s">
        <v>2</v>
      </c>
      <c r="K43" s="110" t="s">
        <v>211</v>
      </c>
      <c r="L43" s="100" t="s">
        <v>98</v>
      </c>
      <c r="M43" s="85" t="s">
        <v>2</v>
      </c>
    </row>
  </sheetData>
  <mergeCells count="14">
    <mergeCell ref="A34:M34"/>
    <mergeCell ref="A38:M38"/>
    <mergeCell ref="A31:A33"/>
    <mergeCell ref="B31:B33"/>
    <mergeCell ref="C31:C33"/>
    <mergeCell ref="D31:D33"/>
    <mergeCell ref="E31:E33"/>
    <mergeCell ref="B1:F1"/>
    <mergeCell ref="B2:F2"/>
    <mergeCell ref="G32:I32"/>
    <mergeCell ref="J32:L32"/>
    <mergeCell ref="M31:M33"/>
    <mergeCell ref="G31:L31"/>
    <mergeCell ref="F31:F33"/>
  </mergeCells>
  <dataValidations count="1">
    <dataValidation type="list" operator="equal" allowBlank="1" showErrorMessage="1" promptTitle="dfdf" sqref="G35:G37 J35:J37 G39:G43 J39:J43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Trường hợp kiểm thử</vt:lpstr>
      <vt:lpstr>Báo cáo kiểm tra</vt:lpstr>
      <vt:lpstr>Đăng nhập</vt:lpstr>
      <vt:lpstr>Đăng ký</vt:lpstr>
      <vt:lpstr>Tìm kiếm việc làm</vt:lpstr>
      <vt:lpstr>Cập nhật hồ sơ (CV)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2026-09-23T02:45:30Z</dcterms:modified>
</cp:coreProperties>
</file>